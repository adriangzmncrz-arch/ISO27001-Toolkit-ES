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Inventario de activos" sheetId="2" state="visible" r:id="rId4"/>
    <sheet name="Evaluación de riesgos" sheetId="3" state="visible" r:id="rId5"/>
    <sheet name="Plan de tratamiento" sheetId="4" state="visible" r:id="rId6"/>
    <sheet name="Mapa de calor" sheetId="5" state="visible" r:id="rId7"/>
    <sheet name="Escalas" sheetId="6" state="visible" r:id="rId8"/>
    <sheet name="Catálogo de amenazas" sheetId="7" state="visible" r:id="rId9"/>
    <sheet name="Catálogo de vulnerabilidades" sheetId="8" state="visible" r:id="rId10"/>
  </sheets>
  <definedNames>
    <definedName function="false" hidden="true" localSheetId="2" name="_xlnm._FilterDatabase" vbProcedure="false">'Evaluación de riesgos'!$A$4:$V$204</definedName>
    <definedName function="false" hidden="true" localSheetId="1" name="_xlnm._FilterDatabase" vbProcedure="false">'Inventario de activos'!$A$4:$M$204</definedName>
    <definedName function="false" hidden="true" localSheetId="3" name="_xlnm._FilterDatabase" vbProcedure="false">'Plan de tratamiento'!$A$4:$N$204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<sst xmlns="http://schemas.openxmlformats.org/spreadsheetml/2006/main" count="468" uniqueCount="354">
  <si>
    <t xml:space="preserve">Matriz de Riesgos de Seguridad de la Información</t>
  </si>
  <si>
    <t xml:space="preserve">ISO 27001 Toolkit en español · CC BY-SA 4.0 · github.com/adriangzmncrz-arch/iso27001-toolkit-es</t>
  </si>
  <si>
    <t xml:space="preserve">Para qué sirve</t>
  </si>
  <si>
    <t xml:space="preserve">Registra el inventario de activos, la evaluación de riesgos y el plan de tratamiento conforme a PRO-01 (cláusulas 6.1.2, 6.1.3, 8.2 y 8.3).</t>
  </si>
  <si>
    <t xml:space="preserve">Orden de llenado</t>
  </si>
  <si>
    <t xml:space="preserve">1. Escalas: revisa los criterios. Si cambias los umbrales de nivel de riesgo, cambia también PRO-01.</t>
  </si>
  <si>
    <t xml:space="preserve">2. Inventario de activos: registra los activos dentro del alcance con su propietario y valoración C, I, D (1 a 5).</t>
  </si>
  <si>
    <t xml:space="preserve">3. Evaluación de riesgos: para cada escenario elige activo, amenaza y vulnerabilidad de las listas, asigna probabilidad e impacto inherentes, decide el tratamiento y estima el riesgo residual.</t>
  </si>
  <si>
    <t xml:space="preserve">4. Plan de tratamiento: registra las acciones para cada riesgo que se mitiga, transfiere o evita.</t>
  </si>
  <si>
    <t xml:space="preserve">5. Mapa de calor: se actualiza solo; úsalo en la revisión por la dirección.</t>
  </si>
  <si>
    <t xml:space="preserve">Puedes ampliar los catálogos de amenazas y vulnerabilidades agregando filas al final de cada lista; las listas desplegables admiten hasta 200 elementos.</t>
  </si>
  <si>
    <t xml:space="preserve">Código de colores</t>
  </si>
  <si>
    <t xml:space="preserve">Celdas en amarillo claro: datos que debes llenar.</t>
  </si>
  <si>
    <t xml:space="preserve">Celdas en gris: se calculan automáticamente. No las sobrescribas.</t>
  </si>
  <si>
    <t xml:space="preserve">Las filas incluidas son ejemplos de una PyME de servicios. Bórralas o sustitúyelas por las tuyas (conserva las fórmulas de las columnas grises).</t>
  </si>
  <si>
    <t xml:space="preserve">Inventario de activos de información</t>
  </si>
  <si>
    <t xml:space="preserve">Control A.5.9 · Valoración de 1 (muy baja) a 5 (muy alta)</t>
  </si>
  <si>
    <t xml:space="preserve">ID</t>
  </si>
  <si>
    <t xml:space="preserve">Activo</t>
  </si>
  <si>
    <t xml:space="preserve">Tipo</t>
  </si>
  <si>
    <t xml:space="preserve">Descripción</t>
  </si>
  <si>
    <t xml:space="preserve">Propietario</t>
  </si>
  <si>
    <t xml:space="preserve">Ubicación</t>
  </si>
  <si>
    <t xml:space="preserve">Clasificación</t>
  </si>
  <si>
    <t xml:space="preserve">Confidencialidad</t>
  </si>
  <si>
    <t xml:space="preserve">Integridad</t>
  </si>
  <si>
    <t xml:space="preserve">Disponibilidad</t>
  </si>
  <si>
    <t xml:space="preserve">Criticidad (máx. C, I, D)</t>
  </si>
  <si>
    <t xml:space="preserve">Proceso</t>
  </si>
  <si>
    <t xml:space="preserve">Última revisión</t>
  </si>
  <si>
    <t xml:space="preserve">A-001</t>
  </si>
  <si>
    <t xml:space="preserve">Microsoft 365 (correo y colaboración)</t>
  </si>
  <si>
    <t xml:space="preserve">Servicio en la nube</t>
  </si>
  <si>
    <t xml:space="preserve">Correo, archivos y comunicación interna y con clientes</t>
  </si>
  <si>
    <t xml:space="preserve">Responsable de TI</t>
  </si>
  <si>
    <t xml:space="preserve">Nube (Microsoft)</t>
  </si>
  <si>
    <t xml:space="preserve">Confidencial</t>
  </si>
  <si>
    <t xml:space="preserve">Todos</t>
  </si>
  <si>
    <t xml:space="preserve">2026-10-09</t>
  </si>
  <si>
    <t xml:space="preserve">A-002</t>
  </si>
  <si>
    <t xml:space="preserve">CRM</t>
  </si>
  <si>
    <t xml:space="preserve">Aplicación</t>
  </si>
  <si>
    <t xml:space="preserve">Datos de clientes, prospectos y oportunidades</t>
  </si>
  <si>
    <t xml:space="preserve">Director Comercial</t>
  </si>
  <si>
    <t xml:space="preserve">Nube (proveedor SaaS)</t>
  </si>
  <si>
    <t xml:space="preserve">Comercialización</t>
  </si>
  <si>
    <t xml:space="preserve">A-003</t>
  </si>
  <si>
    <t xml:space="preserve">Base de datos del ERP</t>
  </si>
  <si>
    <t xml:space="preserve">Información</t>
  </si>
  <si>
    <t xml:space="preserve">Facturación, clientes, proveedores y contabilidad</t>
  </si>
  <si>
    <t xml:space="preserve">Director de Administración</t>
  </si>
  <si>
    <t xml:space="preserve">Nube (AWS)</t>
  </si>
  <si>
    <t xml:space="preserve">Restringida</t>
  </si>
  <si>
    <t xml:space="preserve">Administración</t>
  </si>
  <si>
    <t xml:space="preserve">A-004</t>
  </si>
  <si>
    <t xml:space="preserve">Laptops del personal</t>
  </si>
  <si>
    <t xml:space="preserve">Hardware</t>
  </si>
  <si>
    <t xml:space="preserve">Equipos de trabajo asignados</t>
  </si>
  <si>
    <t xml:space="preserve">Oficina / remoto</t>
  </si>
  <si>
    <t xml:space="preserve">Uso interno</t>
  </si>
  <si>
    <t xml:space="preserve">A-005</t>
  </si>
  <si>
    <t xml:space="preserve">Repositorios de código fuente</t>
  </si>
  <si>
    <t xml:space="preserve">Software</t>
  </si>
  <si>
    <t xml:space="preserve">Código de los productos entregados a clientes</t>
  </si>
  <si>
    <t xml:space="preserve">Líder de desarrollo</t>
  </si>
  <si>
    <t xml:space="preserve">Nube (GitHub)</t>
  </si>
  <si>
    <t xml:space="preserve">Desarrollo</t>
  </si>
  <si>
    <t xml:space="preserve">Evaluación de riesgos</t>
  </si>
  <si>
    <t xml:space="preserve">Cláusulas 6.1.2 y 8.2 · Nivel = Probabilidad × Impacto</t>
  </si>
  <si>
    <t xml:space="preserve">ID riesgo</t>
  </si>
  <si>
    <t xml:space="preserve">ID activo</t>
  </si>
  <si>
    <t xml:space="preserve">ID amenaza</t>
  </si>
  <si>
    <t xml:space="preserve">Amenaza</t>
  </si>
  <si>
    <t xml:space="preserve">ID vulnerabilidad</t>
  </si>
  <si>
    <t xml:space="preserve">Vulnerabilidad</t>
  </si>
  <si>
    <t xml:space="preserve">Escenario de riesgo</t>
  </si>
  <si>
    <t xml:space="preserve">Dimensión (C, I, D)</t>
  </si>
  <si>
    <t xml:space="preserve">Propietario del riesgo</t>
  </si>
  <si>
    <t xml:space="preserve">Controles existentes</t>
  </si>
  <si>
    <t xml:space="preserve">Probabilidad inherente</t>
  </si>
  <si>
    <t xml:space="preserve">Impacto inherente</t>
  </si>
  <si>
    <t xml:space="preserve">Nivel inherente</t>
  </si>
  <si>
    <t xml:space="preserve">Clasificación inherente</t>
  </si>
  <si>
    <t xml:space="preserve">Tratamiento</t>
  </si>
  <si>
    <t xml:space="preserve">Probabilidad residual</t>
  </si>
  <si>
    <t xml:space="preserve">Impacto residual</t>
  </si>
  <si>
    <t xml:space="preserve">Nivel residual</t>
  </si>
  <si>
    <t xml:space="preserve">Clasificación residual</t>
  </si>
  <si>
    <t xml:space="preserve">¿Dentro del apetito?</t>
  </si>
  <si>
    <t xml:space="preserve">Fecha de evaluación</t>
  </si>
  <si>
    <t xml:space="preserve">R-001</t>
  </si>
  <si>
    <t xml:space="preserve">AM-01</t>
  </si>
  <si>
    <t xml:space="preserve">VU-03</t>
  </si>
  <si>
    <t xml:space="preserve">Por phishing que aprovecha la falta de concientización, podrían comprometerse cuentas de correo y exponerse información de clientes</t>
  </si>
  <si>
    <t xml:space="preserve">C, I</t>
  </si>
  <si>
    <t xml:space="preserve">Responsable del SGSI</t>
  </si>
  <si>
    <t xml:space="preserve">Filtro antispam del proveedor</t>
  </si>
  <si>
    <t xml:space="preserve">Mitigar</t>
  </si>
  <si>
    <t xml:space="preserve">R-002</t>
  </si>
  <si>
    <t xml:space="preserve">AM-02</t>
  </si>
  <si>
    <t xml:space="preserve">VU-06</t>
  </si>
  <si>
    <t xml:space="preserve">Por ransomware que aprovecha respaldos no aislados, podría cifrarse la base del ERP sin posibilidad de recuperación oportuna</t>
  </si>
  <si>
    <t xml:space="preserve">I, D</t>
  </si>
  <si>
    <t xml:space="preserve">Respaldo diario en la misma cuenta de nube</t>
  </si>
  <si>
    <t xml:space="preserve">R-003</t>
  </si>
  <si>
    <t xml:space="preserve">AM-06</t>
  </si>
  <si>
    <t xml:space="preserve">VU-08</t>
  </si>
  <si>
    <t xml:space="preserve">Por acceso de excolaboradores que aprovecha un proceso de bajas sin control, podría extraerse la cartera de clientes</t>
  </si>
  <si>
    <t xml:space="preserve">C</t>
  </si>
  <si>
    <t xml:space="preserve">Baja manual a solicitud de RR. HH.</t>
  </si>
  <si>
    <t xml:space="preserve">R-004</t>
  </si>
  <si>
    <t xml:space="preserve">AM-13</t>
  </si>
  <si>
    <t xml:space="preserve">VU-09</t>
  </si>
  <si>
    <t xml:space="preserve">Por robo de una laptop sin cifrado, podría divulgarse información de clientes almacenada localmente</t>
  </si>
  <si>
    <t xml:space="preserve">Contraseña de inicio de sesión</t>
  </si>
  <si>
    <t xml:space="preserve">R-005</t>
  </si>
  <si>
    <t xml:space="preserve">AM-11</t>
  </si>
  <si>
    <t xml:space="preserve">VU-13</t>
  </si>
  <si>
    <t xml:space="preserve">Por una interrupción prolongada del proveedor, podría detenerse la comunicación con clientes</t>
  </si>
  <si>
    <t xml:space="preserve">D</t>
  </si>
  <si>
    <t xml:space="preserve">SLA del proveedor</t>
  </si>
  <si>
    <t xml:space="preserve">Aceptar</t>
  </si>
  <si>
    <t xml:space="preserve">Plan de tratamiento de riesgos</t>
  </si>
  <si>
    <t xml:space="preserve">Cláusulas 6.1.3 y 8.3</t>
  </si>
  <si>
    <t xml:space="preserve">ID acción</t>
  </si>
  <si>
    <t xml:space="preserve">Acción o control a implementar</t>
  </si>
  <si>
    <t xml:space="preserve">Controles del Anexo A</t>
  </si>
  <si>
    <t xml:space="preserve">Responsable</t>
  </si>
  <si>
    <t xml:space="preserve">Recursos</t>
  </si>
  <si>
    <t xml:space="preserve">Fecha de inicio</t>
  </si>
  <si>
    <t xml:space="preserve">Fecha compromiso</t>
  </si>
  <si>
    <t xml:space="preserve">Estado</t>
  </si>
  <si>
    <t xml:space="preserve">% de avance</t>
  </si>
  <si>
    <t xml:space="preserve">¿Vencida?</t>
  </si>
  <si>
    <t xml:space="preserve">Comentarios</t>
  </si>
  <si>
    <t xml:space="preserve">T-001</t>
  </si>
  <si>
    <t xml:space="preserve">Habilitar MFA para el 100 % de las cuentas y simulaciones de phishing trimestrales</t>
  </si>
  <si>
    <t xml:space="preserve">A.5.17, A.8.5, A.6.3</t>
  </si>
  <si>
    <t xml:space="preserve">Licencias existentes; plataforma de simulación</t>
  </si>
  <si>
    <t xml:space="preserve">En curso</t>
  </si>
  <si>
    <t xml:space="preserve">T-002</t>
  </si>
  <si>
    <t xml:space="preserve">Implementar respaldo inmutable en cuenta separada (3-2-1-1-0) y prueba semestral de restauración</t>
  </si>
  <si>
    <t xml:space="preserve">A.8.13</t>
  </si>
  <si>
    <t xml:space="preserve">Servicio de respaldo inmutable</t>
  </si>
  <si>
    <t xml:space="preserve">Planificada</t>
  </si>
  <si>
    <t xml:space="preserve">T-003</t>
  </si>
  <si>
    <t xml:space="preserve">Implementar PRO-07 e integrar el CRM al inicio de sesión único</t>
  </si>
  <si>
    <t xml:space="preserve">A.5.18, A.6.5</t>
  </si>
  <si>
    <t xml:space="preserve">Horas internas</t>
  </si>
  <si>
    <t xml:space="preserve">Completada</t>
  </si>
  <si>
    <t xml:space="preserve">T-004</t>
  </si>
  <si>
    <t xml:space="preserve">Cifrado de disco gestionado por MDM en todas las laptops</t>
  </si>
  <si>
    <t xml:space="preserve">A.8.1, A.8.24</t>
  </si>
  <si>
    <t xml:space="preserve">Licencias MDM</t>
  </si>
  <si>
    <t xml:space="preserve">Mapa de calor</t>
  </si>
  <si>
    <t xml:space="preserve">Número de riesgos en cada combinación de probabilidad e impacto. Se actualiza automáticamente.</t>
  </si>
  <si>
    <t xml:space="preserve">Riesgo inherente</t>
  </si>
  <si>
    <t xml:space="preserve">Riesgo residual</t>
  </si>
  <si>
    <t xml:space="preserve">Prob. ↓  Imp. →</t>
  </si>
  <si>
    <t xml:space="preserve">Resumen por nivel</t>
  </si>
  <si>
    <t xml:space="preserve">Nivel</t>
  </si>
  <si>
    <t xml:space="preserve">Inherente</t>
  </si>
  <si>
    <t xml:space="preserve">Residual</t>
  </si>
  <si>
    <t xml:space="preserve">Crítico</t>
  </si>
  <si>
    <t xml:space="preserve">Alto</t>
  </si>
  <si>
    <t xml:space="preserve">Medio</t>
  </si>
  <si>
    <t xml:space="preserve">Bajo</t>
  </si>
  <si>
    <t xml:space="preserve">Total</t>
  </si>
  <si>
    <t xml:space="preserve">Riesgos residuales fuera del apetito</t>
  </si>
  <si>
    <t xml:space="preserve">Acciones de tratamiento vencidas</t>
  </si>
  <si>
    <t xml:space="preserve">Escalas y criterios de evaluación</t>
  </si>
  <si>
    <t xml:space="preserve">Deben coincidir con PRO-01 §4.3 y §4.4.</t>
  </si>
  <si>
    <t xml:space="preserve">Valor</t>
  </si>
  <si>
    <t xml:space="preserve">Probabilidad</t>
  </si>
  <si>
    <t xml:space="preserve">Criterio</t>
  </si>
  <si>
    <t xml:space="preserve">Muy baja</t>
  </si>
  <si>
    <t xml:space="preserve">Solo en circunstancias excepcionales; no ha ocurrido en la organización ni en el sector cercano</t>
  </si>
  <si>
    <t xml:space="preserve">Baja</t>
  </si>
  <si>
    <t xml:space="preserve">Podría ocurrir alguna vez en los próximos 5 años</t>
  </si>
  <si>
    <t xml:space="preserve">Media</t>
  </si>
  <si>
    <t xml:space="preserve">Podría ocurrir en los próximos 2 años, o ya ocurrió en organizaciones similares</t>
  </si>
  <si>
    <t xml:space="preserve">Alta</t>
  </si>
  <si>
    <t xml:space="preserve">Probable en el próximo año, o ya ocurrió en la organización</t>
  </si>
  <si>
    <t xml:space="preserve">Muy alta</t>
  </si>
  <si>
    <t xml:space="preserve">Ocurre o se espera varias veces al año</t>
  </si>
  <si>
    <t xml:space="preserve">Impacto</t>
  </si>
  <si>
    <t xml:space="preserve">Financiero</t>
  </si>
  <si>
    <t xml:space="preserve">Operativo</t>
  </si>
  <si>
    <t xml:space="preserve">Legal / contractual</t>
  </si>
  <si>
    <t xml:space="preserve">Reputacional</t>
  </si>
  <si>
    <t xml:space="preserve">Muy bajo</t>
  </si>
  <si>
    <t xml:space="preserve">&lt; [$50,000] MXN</t>
  </si>
  <si>
    <t xml:space="preserve">Interrupción &lt; 1 h sin efecto en clientes</t>
  </si>
  <si>
    <t xml:space="preserve">Ninguno</t>
  </si>
  <si>
    <t xml:space="preserve">Sin trascendencia externa</t>
  </si>
  <si>
    <t xml:space="preserve">[$50,000 – $250,000]</t>
  </si>
  <si>
    <t xml:space="preserve">Interrupción de hasta 4 h</t>
  </si>
  <si>
    <t xml:space="preserve">Incumplimiento menor subsanable</t>
  </si>
  <si>
    <t xml:space="preserve">Queja aislada de un cliente</t>
  </si>
  <si>
    <t xml:space="preserve">[$250,000 – $1,000,000]</t>
  </si>
  <si>
    <t xml:space="preserve">Interrupción de hasta 1 día</t>
  </si>
  <si>
    <t xml:space="preserve">Penalización contractual</t>
  </si>
  <si>
    <t xml:space="preserve">Varios clientes afectados</t>
  </si>
  <si>
    <t xml:space="preserve">[$1,000,000 – $5,000,000]</t>
  </si>
  <si>
    <t xml:space="preserve">Interrupción de 1 a 3 días de servicios críticos</t>
  </si>
  <si>
    <t xml:space="preserve">Sanción de autoridad o demanda</t>
  </si>
  <si>
    <t xml:space="preserve">Cobertura en medios locales; pérdida de clientes</t>
  </si>
  <si>
    <t xml:space="preserve">Muy alto</t>
  </si>
  <si>
    <t xml:space="preserve">&gt; [$5,000,000]</t>
  </si>
  <si>
    <t xml:space="preserve">Más de 3 días o pérdida irrecuperable de información</t>
  </si>
  <si>
    <t xml:space="preserve">Sanción grave o suspensión</t>
  </si>
  <si>
    <t xml:space="preserve">Daño reputacional nacional o pérdida de clientes clave</t>
  </si>
  <si>
    <t xml:space="preserve">Niveles de riesgo (Probabilidad × Impacto)</t>
  </si>
  <si>
    <t xml:space="preserve">Desde</t>
  </si>
  <si>
    <t xml:space="preserve">Decisión</t>
  </si>
  <si>
    <t xml:space="preserve">Acepta el riesgo residual</t>
  </si>
  <si>
    <t xml:space="preserve">Aceptable; se monitorea</t>
  </si>
  <si>
    <t xml:space="preserve">Tratar si el costo es razonable</t>
  </si>
  <si>
    <t xml:space="preserve">Propietario + Responsable del SGSI</t>
  </si>
  <si>
    <t xml:space="preserve">Tratar; plan en ≤ 90 días</t>
  </si>
  <si>
    <t xml:space="preserve">Dirección General</t>
  </si>
  <si>
    <t xml:space="preserve">Tratamiento inmediato; plan en ≤ 30 días</t>
  </si>
  <si>
    <t xml:space="preserve">Dirección General (excepcional, por escrito)</t>
  </si>
  <si>
    <t xml:space="preserve">Los valores de la columna Desde controlan la clasificación automática en la hoja Evaluación de riesgos.</t>
  </si>
  <si>
    <t xml:space="preserve">Apetito de riesgo: nivel residual máximo aceptable</t>
  </si>
  <si>
    <t xml:space="preserve">Equivale a un nivel residual numérico máximo de:</t>
  </si>
  <si>
    <t xml:space="preserve">Catálogo de amenazas</t>
  </si>
  <si>
    <t xml:space="preserve">Agrega amenazas al final de la lista; aparecerán en las listas desplegables.</t>
  </si>
  <si>
    <t xml:space="preserve">Categoría</t>
  </si>
  <si>
    <t xml:space="preserve">Dimensión típica</t>
  </si>
  <si>
    <t xml:space="preserve">Phishing e ingeniería social</t>
  </si>
  <si>
    <t xml:space="preserve">Humana deliberada</t>
  </si>
  <si>
    <t xml:space="preserve">Ransomware</t>
  </si>
  <si>
    <t xml:space="preserve">Software malicioso</t>
  </si>
  <si>
    <t xml:space="preserve">AM-03</t>
  </si>
  <si>
    <t xml:space="preserve">Otro software malicioso (troyanos, robo de información)</t>
  </si>
  <si>
    <t xml:space="preserve">C, I, D</t>
  </si>
  <si>
    <t xml:space="preserve">AM-04</t>
  </si>
  <si>
    <t xml:space="preserve">Robo o compromiso de credenciales</t>
  </si>
  <si>
    <t xml:space="preserve">AM-05</t>
  </si>
  <si>
    <t xml:space="preserve">Fraude por suplantación de correo (BEC)</t>
  </si>
  <si>
    <t xml:space="preserve">I</t>
  </si>
  <si>
    <t xml:space="preserve">Acceso no autorizado por personal interno o excolaboradores</t>
  </si>
  <si>
    <t xml:space="preserve">AM-07</t>
  </si>
  <si>
    <t xml:space="preserve">Divulgación accidental de información</t>
  </si>
  <si>
    <t xml:space="preserve">Humana accidental</t>
  </si>
  <si>
    <t xml:space="preserve">AM-08</t>
  </si>
  <si>
    <t xml:space="preserve">Error humano en operación o configuración</t>
  </si>
  <si>
    <t xml:space="preserve">AM-09</t>
  </si>
  <si>
    <t xml:space="preserve">Explotación de vulnerabilidades técnicas</t>
  </si>
  <si>
    <t xml:space="preserve">AM-10</t>
  </si>
  <si>
    <t xml:space="preserve">Ataque de denegación de servicio</t>
  </si>
  <si>
    <t xml:space="preserve">Falla o interrupción de proveedor o servicio en la nube</t>
  </si>
  <si>
    <t xml:space="preserve">Proveedores</t>
  </si>
  <si>
    <t xml:space="preserve">AM-12</t>
  </si>
  <si>
    <t xml:space="preserve">Compromiso a través de un proveedor (cadena de suministro)</t>
  </si>
  <si>
    <t xml:space="preserve">Robo o pérdida de equipos</t>
  </si>
  <si>
    <t xml:space="preserve">Física</t>
  </si>
  <si>
    <t xml:space="preserve">C, D</t>
  </si>
  <si>
    <t xml:space="preserve">AM-14</t>
  </si>
  <si>
    <t xml:space="preserve">Falla de hardware</t>
  </si>
  <si>
    <t xml:space="preserve">Técnica</t>
  </si>
  <si>
    <t xml:space="preserve">AM-15</t>
  </si>
  <si>
    <t xml:space="preserve">Falla o error de software</t>
  </si>
  <si>
    <t xml:space="preserve">AM-16</t>
  </si>
  <si>
    <t xml:space="preserve">Corte de energía eléctrica</t>
  </si>
  <si>
    <t xml:space="preserve">Ambiental / servicios</t>
  </si>
  <si>
    <t xml:space="preserve">AM-17</t>
  </si>
  <si>
    <t xml:space="preserve">Falla de telecomunicaciones o internet</t>
  </si>
  <si>
    <t xml:space="preserve">AM-18</t>
  </si>
  <si>
    <t xml:space="preserve">Incendio</t>
  </si>
  <si>
    <t xml:space="preserve">AM-19</t>
  </si>
  <si>
    <t xml:space="preserve">Sismo</t>
  </si>
  <si>
    <t xml:space="preserve">Natural</t>
  </si>
  <si>
    <t xml:space="preserve">AM-20</t>
  </si>
  <si>
    <t xml:space="preserve">Inundación o daño por agua</t>
  </si>
  <si>
    <t xml:space="preserve">AM-21</t>
  </si>
  <si>
    <t xml:space="preserve">Acceso físico no autorizado</t>
  </si>
  <si>
    <t xml:space="preserve">AM-22</t>
  </si>
  <si>
    <t xml:space="preserve">Ausencia o salida de personal clave</t>
  </si>
  <si>
    <t xml:space="preserve">Organizacional</t>
  </si>
  <si>
    <t xml:space="preserve">AM-23</t>
  </si>
  <si>
    <t xml:space="preserve">Sabotaje interno</t>
  </si>
  <si>
    <t xml:space="preserve">AM-24</t>
  </si>
  <si>
    <t xml:space="preserve">Robo de propiedad intelectual o espionaje</t>
  </si>
  <si>
    <t xml:space="preserve">AM-25</t>
  </si>
  <si>
    <t xml:space="preserve">Incumplimiento legal, regulatorio o contractual</t>
  </si>
  <si>
    <t xml:space="preserve">AM-26</t>
  </si>
  <si>
    <t xml:space="preserve">Uso indebido de herramientas de IA generativa</t>
  </si>
  <si>
    <t xml:space="preserve">AM-27</t>
  </si>
  <si>
    <t xml:space="preserve">Borrado o modificación accidental de información</t>
  </si>
  <si>
    <t xml:space="preserve">AM-28</t>
  </si>
  <si>
    <t xml:space="preserve">Interceptación de comunicaciones</t>
  </si>
  <si>
    <t xml:space="preserve">AM-29</t>
  </si>
  <si>
    <t xml:space="preserve">Uso de software no autorizado</t>
  </si>
  <si>
    <t xml:space="preserve">AM-30</t>
  </si>
  <si>
    <t xml:space="preserve">Toma de control de una cuenta privilegiada</t>
  </si>
  <si>
    <t xml:space="preserve">Catálogo de vulnerabilidades</t>
  </si>
  <si>
    <t xml:space="preserve">Agrega vulnerabilidades al final de la lista; aparecerán en las listas desplegables.</t>
  </si>
  <si>
    <t xml:space="preserve">VU-01</t>
  </si>
  <si>
    <t xml:space="preserve">Ausencia de autenticación multifactor</t>
  </si>
  <si>
    <t xml:space="preserve">VU-02</t>
  </si>
  <si>
    <t xml:space="preserve">Contraseñas débiles o reutilizadas</t>
  </si>
  <si>
    <t xml:space="preserve">Falta de concientización del personal</t>
  </si>
  <si>
    <t xml:space="preserve">VU-04</t>
  </si>
  <si>
    <t xml:space="preserve">Parches de seguridad no aplicados</t>
  </si>
  <si>
    <t xml:space="preserve">VU-05</t>
  </si>
  <si>
    <t xml:space="preserve">Software o sistemas sin soporte del fabricante</t>
  </si>
  <si>
    <t xml:space="preserve">Respaldos inexistentes, no probados o no aislados</t>
  </si>
  <si>
    <t xml:space="preserve">VU-07</t>
  </si>
  <si>
    <t xml:space="preserve">Privilegios excesivos</t>
  </si>
  <si>
    <t xml:space="preserve">Proceso de bajas de personal sin control</t>
  </si>
  <si>
    <t xml:space="preserve">Equipos sin cifrado de disco</t>
  </si>
  <si>
    <t xml:space="preserve">VU-10</t>
  </si>
  <si>
    <t xml:space="preserve">Configuraciones por defecto o no endurecidas</t>
  </si>
  <si>
    <t xml:space="preserve">VU-11</t>
  </si>
  <si>
    <t xml:space="preserve">Falta de registro y monitoreo de eventos</t>
  </si>
  <si>
    <t xml:space="preserve">VU-12</t>
  </si>
  <si>
    <t xml:space="preserve">Red sin segmentación</t>
  </si>
  <si>
    <t xml:space="preserve">Dependencia de un solo proveedor sin plan de salida</t>
  </si>
  <si>
    <t xml:space="preserve">VU-14</t>
  </si>
  <si>
    <t xml:space="preserve">Contratos con proveedores sin cláusulas de seguridad</t>
  </si>
  <si>
    <t xml:space="preserve">VU-15</t>
  </si>
  <si>
    <t xml:space="preserve">Sin procedimiento de respuesta a incidentes</t>
  </si>
  <si>
    <t xml:space="preserve">VU-16</t>
  </si>
  <si>
    <t xml:space="preserve">Punto único de falla en la infraestructura</t>
  </si>
  <si>
    <t xml:space="preserve">VU-17</t>
  </si>
  <si>
    <t xml:space="preserve">Conocimiento concentrado en una sola persona</t>
  </si>
  <si>
    <t xml:space="preserve">VU-18</t>
  </si>
  <si>
    <t xml:space="preserve">Control de acceso físico insuficiente</t>
  </si>
  <si>
    <t xml:space="preserve">VU-19</t>
  </si>
  <si>
    <t xml:space="preserve">Información sin clasificar</t>
  </si>
  <si>
    <t xml:space="preserve">VU-20</t>
  </si>
  <si>
    <t xml:space="preserve">Código sin revisión ni pruebas de seguridad</t>
  </si>
  <si>
    <t xml:space="preserve">VU-21</t>
  </si>
  <si>
    <t xml:space="preserve">Secretos o credenciales en código o documentos</t>
  </si>
  <si>
    <t xml:space="preserve">VU-22</t>
  </si>
  <si>
    <t xml:space="preserve">Solicitudes de pago sin verificación por un segundo canal</t>
  </si>
  <si>
    <t xml:space="preserve">VU-23</t>
  </si>
  <si>
    <t xml:space="preserve">Servicios innecesarios expuestos a internet</t>
  </si>
  <si>
    <t xml:space="preserve">VU-24</t>
  </si>
  <si>
    <t xml:space="preserve">Equipos sin protección antimalware o EDR</t>
  </si>
  <si>
    <t xml:space="preserve">VU-25</t>
  </si>
  <si>
    <t xml:space="preserve">Datos reales en ambientes de prueba</t>
  </si>
  <si>
    <t xml:space="preserve">VU-26</t>
  </si>
  <si>
    <t xml:space="preserve">Sin respaldo eléctrico (UPS o planta)</t>
  </si>
  <si>
    <t xml:space="preserve">VU-27</t>
  </si>
  <si>
    <t xml:space="preserve">Instalaciones expuestas a riesgos ambientales</t>
  </si>
  <si>
    <t xml:space="preserve">VU-28</t>
  </si>
  <si>
    <t xml:space="preserve">Inventario de activos incompleto</t>
  </si>
  <si>
    <t xml:space="preserve">VU-29</t>
  </si>
  <si>
    <t xml:space="preserve">Dispositivos personales sin gestión</t>
  </si>
  <si>
    <t xml:space="preserve">VU-30</t>
  </si>
  <si>
    <t xml:space="preserve">Sin lineamientos para el uso de IA generativa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</si>
</sst>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yyyy\-mm\-dd"/>
    <numFmt numFmtId="167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1F3A5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F8DC"/>
        <bgColor rgb="FFF2F2F2"/>
      </patternFill>
    </fill>
    <fill>
      <patternFill patternType="solid">
        <fgColor rgb="FFF2F2F2"/>
        <bgColor rgb="FFFFF8DC"/>
      </patternFill>
    </fill>
    <fill>
      <patternFill patternType="solid">
        <fgColor rgb="FF1F3A5F"/>
        <bgColor rgb="FF333333"/>
      </patternFill>
    </fill>
    <fill>
      <patternFill patternType="solid">
        <fgColor rgb="FFFFEB9C"/>
        <bgColor rgb="FFFFF8DC"/>
      </patternFill>
    </fill>
    <fill>
      <patternFill patternType="solid">
        <fgColor rgb="FFF8CBAD"/>
        <bgColor rgb="FFFFEB9C"/>
      </patternFill>
    </fill>
    <fill>
      <patternFill patternType="solid">
        <fgColor rgb="FFFF7C80"/>
        <bgColor rgb="FFFF99CC"/>
      </patternFill>
    </fill>
    <fill>
      <patternFill patternType="solid">
        <fgColor rgb="FFC6EFCE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7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8">
    <dxf>
      <fill>
        <patternFill patternType="solid">
          <fgColor rgb="FF1F3A5F"/>
          <bgColor rgb="FF000000"/>
        </patternFill>
      </fill>
    </dxf>
    <dxf>
      <fill>
        <patternFill patternType="solid">
          <fgColor rgb="FFFFF8D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7C80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ont>
        <name val="Arial"/>
        <charset val="1"/>
        <family val="0"/>
        <b val="1"/>
      </font>
      <fill>
        <patternFill>
          <bgColor rgb="FFC6EFCE"/>
        </patternFill>
      </fill>
    </dxf>
    <dxf>
      <font>
        <name val="Arial"/>
        <charset val="1"/>
        <family val="0"/>
        <b val="1"/>
      </font>
      <fill>
        <patternFill>
          <bgColor rgb="FFFFEB9C"/>
        </patternFill>
      </fill>
    </dxf>
    <dxf>
      <font>
        <name val="Arial"/>
        <charset val="1"/>
        <family val="0"/>
        <b val="1"/>
      </font>
      <fill>
        <patternFill>
          <bgColor rgb="FFF8CBAD"/>
        </patternFill>
      </fill>
    </dxf>
    <dxf>
      <font>
        <name val="Arial"/>
        <charset val="1"/>
        <family val="0"/>
        <b val="1"/>
      </font>
      <fill>
        <patternFill>
          <bgColor rgb="FFFF7C80"/>
        </patternFill>
      </fill>
    </dxf>
    <dxf>
      <font>
        <name val="Arial"/>
        <charset val="1"/>
        <family val="0"/>
        <b val="1"/>
        <color rgb="FFC00000"/>
      </font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8CBAD"/>
        </patternFill>
      </fill>
    </dxf>
    <dxf>
      <fill>
        <patternFill>
          <bgColor rgb="FFFF7C8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8DC"/>
      <rgbColor rgb="FFF2F2F2"/>
      <rgbColor rgb="FF660066"/>
      <rgbColor rgb="FFFF7C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6" customFormat="false" ht="15" hidden="false" customHeight="false" outlineLevel="0" collapsed="false">
      <c r="A6" s="4" t="s">
        <v>3</v>
      </c>
    </row>
    <row r="7" customFormat="false" ht="15" hidden="false" customHeight="false" outlineLevel="0" collapsed="false">
      <c r="A7" s="3" t="s">
        <v>4</v>
      </c>
    </row>
    <row r="9" customFormat="false" ht="15" hidden="false" customHeight="false" outlineLevel="0" collapsed="false">
      <c r="A9" s="4" t="s">
        <v>5</v>
      </c>
    </row>
    <row r="10" customFormat="false" ht="15" hidden="false" customHeight="false" outlineLevel="0" collapsed="false">
      <c r="A10" s="4" t="s">
        <v>6</v>
      </c>
    </row>
    <row r="11" customFormat="false" ht="23.85" hidden="false" customHeight="false" outlineLevel="0" collapsed="false">
      <c r="A11" s="4" t="s">
        <v>7</v>
      </c>
    </row>
    <row r="12" customFormat="false" ht="15" hidden="false" customHeight="false" outlineLevel="0" collapsed="false">
      <c r="A12" s="4" t="s">
        <v>8</v>
      </c>
    </row>
    <row r="13" customFormat="false" ht="15" hidden="false" customHeight="false" outlineLevel="0" collapsed="false">
      <c r="A13" s="4" t="s">
        <v>9</v>
      </c>
    </row>
    <row r="14" customFormat="false" ht="23.85" hidden="false" customHeight="false" outlineLevel="0" collapsed="false">
      <c r="A14" s="4" t="s">
        <v>10</v>
      </c>
    </row>
    <row r="15" customFormat="false" ht="15" hidden="false" customHeight="false" outlineLevel="0" collapsed="false">
      <c r="A15" s="3" t="s">
        <v>11</v>
      </c>
    </row>
    <row r="17" customFormat="false" ht="15" hidden="false" customHeight="false" outlineLevel="0" collapsed="false">
      <c r="A17" s="5" t="s">
        <v>12</v>
      </c>
    </row>
    <row r="18" customFormat="false" ht="15" hidden="false" customHeight="false" outlineLevel="0" collapsed="false">
      <c r="A18" s="6" t="s">
        <v>13</v>
      </c>
    </row>
    <row r="19" customFormat="false" ht="15" hidden="false" customHeight="false" outlineLevel="0" collapsed="false">
      <c r="A19" s="4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4"/>
    <col collapsed="false" customWidth="true" hidden="false" outlineLevel="0" max="3" min="3" style="0" width="18"/>
    <col collapsed="false" customWidth="true" hidden="false" outlineLevel="0" max="4" min="4" style="0" width="40"/>
    <col collapsed="false" customWidth="true" hidden="false" outlineLevel="0" max="5" min="5" style="0" width="22"/>
    <col collapsed="false" customWidth="true" hidden="false" outlineLevel="0" max="6" min="6" style="0" width="20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1" min="11" style="0" width="14"/>
    <col collapsed="false" customWidth="true" hidden="false" outlineLevel="0" max="12" min="12" style="0" width="18"/>
    <col collapsed="false" customWidth="true" hidden="false" outlineLevel="0" max="13" min="13" style="0" width="13"/>
  </cols>
  <sheetData>
    <row r="1" customFormat="false" ht="17.35" hidden="false" customHeight="false" outlineLevel="0" collapsed="false">
      <c r="A1" s="1" t="s">
        <v>15</v>
      </c>
    </row>
    <row r="2" customFormat="false" ht="15" hidden="false" customHeight="false" outlineLevel="0" collapsed="false">
      <c r="A2" s="2" t="s">
        <v>16</v>
      </c>
    </row>
    <row r="4" customFormat="false" ht="42" hidden="false" customHeight="true" outlineLevel="0" collapsed="false">
      <c r="A4" s="7" t="s">
        <v>17</v>
      </c>
      <c r="B4" s="7" t="s">
        <v>18</v>
      </c>
      <c r="C4" s="7" t="s">
        <v>19</v>
      </c>
      <c r="D4" s="7" t="s">
        <v>20</v>
      </c>
      <c r="E4" s="7" t="s">
        <v>21</v>
      </c>
      <c r="F4" s="7" t="s">
        <v>22</v>
      </c>
      <c r="G4" s="7" t="s">
        <v>23</v>
      </c>
      <c r="H4" s="7" t="s">
        <v>24</v>
      </c>
      <c r="I4" s="7" t="s">
        <v>25</v>
      </c>
      <c r="J4" s="7" t="s">
        <v>26</v>
      </c>
      <c r="K4" s="7" t="s">
        <v>27</v>
      </c>
      <c r="L4" s="7" t="s">
        <v>28</v>
      </c>
      <c r="M4" s="7" t="s">
        <v>29</v>
      </c>
    </row>
    <row r="5" customFormat="false" ht="23.85" hidden="false" customHeight="false" outlineLevel="0" collapsed="false">
      <c r="A5" s="8" t="s">
        <v>30</v>
      </c>
      <c r="B5" s="8" t="s">
        <v>31</v>
      </c>
      <c r="C5" s="8" t="s">
        <v>32</v>
      </c>
      <c r="D5" s="8" t="s">
        <v>33</v>
      </c>
      <c r="E5" s="8" t="s">
        <v>34</v>
      </c>
      <c r="F5" s="8" t="s">
        <v>35</v>
      </c>
      <c r="G5" s="8" t="s">
        <v>36</v>
      </c>
      <c r="H5" s="9" t="n">
        <v>4</v>
      </c>
      <c r="I5" s="9" t="n">
        <v>4</v>
      </c>
      <c r="J5" s="9" t="n">
        <v>4</v>
      </c>
      <c r="K5" s="10" t="n">
        <f aca="false">IF(COUNT(H5:J5)=0,"",MAX(H5:J5))</f>
        <v>4</v>
      </c>
      <c r="L5" s="8" t="s">
        <v>37</v>
      </c>
      <c r="M5" s="8" t="s">
        <v>38</v>
      </c>
    </row>
    <row r="6" customFormat="false" ht="15" hidden="false" customHeight="false" outlineLevel="0" collapsed="false">
      <c r="A6" s="8" t="s">
        <v>39</v>
      </c>
      <c r="B6" s="8" t="s">
        <v>40</v>
      </c>
      <c r="C6" s="8" t="s">
        <v>41</v>
      </c>
      <c r="D6" s="8" t="s">
        <v>42</v>
      </c>
      <c r="E6" s="8" t="s">
        <v>43</v>
      </c>
      <c r="F6" s="8" t="s">
        <v>44</v>
      </c>
      <c r="G6" s="8" t="s">
        <v>36</v>
      </c>
      <c r="H6" s="9" t="n">
        <v>4</v>
      </c>
      <c r="I6" s="9" t="n">
        <v>3</v>
      </c>
      <c r="J6" s="9" t="n">
        <v>3</v>
      </c>
      <c r="K6" s="10" t="n">
        <f aca="false">IF(COUNT(H6:J6)=0,"",MAX(H6:J6))</f>
        <v>4</v>
      </c>
      <c r="L6" s="8" t="s">
        <v>45</v>
      </c>
      <c r="M6" s="8" t="s">
        <v>38</v>
      </c>
    </row>
    <row r="7" customFormat="false" ht="15" hidden="false" customHeight="false" outlineLevel="0" collapsed="false">
      <c r="A7" s="8" t="s">
        <v>46</v>
      </c>
      <c r="B7" s="8" t="s">
        <v>47</v>
      </c>
      <c r="C7" s="8" t="s">
        <v>48</v>
      </c>
      <c r="D7" s="8" t="s">
        <v>49</v>
      </c>
      <c r="E7" s="8" t="s">
        <v>50</v>
      </c>
      <c r="F7" s="8" t="s">
        <v>51</v>
      </c>
      <c r="G7" s="8" t="s">
        <v>52</v>
      </c>
      <c r="H7" s="9" t="n">
        <v>5</v>
      </c>
      <c r="I7" s="9" t="n">
        <v>5</v>
      </c>
      <c r="J7" s="9" t="n">
        <v>4</v>
      </c>
      <c r="K7" s="10" t="n">
        <f aca="false">IF(COUNT(H7:J7)=0,"",MAX(H7:J7))</f>
        <v>5</v>
      </c>
      <c r="L7" s="8" t="s">
        <v>53</v>
      </c>
      <c r="M7" s="8" t="s">
        <v>38</v>
      </c>
    </row>
    <row r="8" customFormat="false" ht="15" hidden="false" customHeight="false" outlineLevel="0" collapsed="false">
      <c r="A8" s="8" t="s">
        <v>54</v>
      </c>
      <c r="B8" s="8" t="s">
        <v>55</v>
      </c>
      <c r="C8" s="8" t="s">
        <v>56</v>
      </c>
      <c r="D8" s="8" t="s">
        <v>57</v>
      </c>
      <c r="E8" s="8" t="s">
        <v>34</v>
      </c>
      <c r="F8" s="8" t="s">
        <v>58</v>
      </c>
      <c r="G8" s="8" t="s">
        <v>59</v>
      </c>
      <c r="H8" s="9" t="n">
        <v>3</v>
      </c>
      <c r="I8" s="9" t="n">
        <v>2</v>
      </c>
      <c r="J8" s="9" t="n">
        <v>3</v>
      </c>
      <c r="K8" s="10" t="n">
        <f aca="false">IF(COUNT(H8:J8)=0,"",MAX(H8:J8))</f>
        <v>3</v>
      </c>
      <c r="L8" s="8" t="s">
        <v>37</v>
      </c>
      <c r="M8" s="8" t="s">
        <v>38</v>
      </c>
    </row>
    <row r="9" customFormat="false" ht="15" hidden="false" customHeight="false" outlineLevel="0" collapsed="false">
      <c r="A9" s="8" t="s">
        <v>60</v>
      </c>
      <c r="B9" s="8" t="s">
        <v>61</v>
      </c>
      <c r="C9" s="8" t="s">
        <v>62</v>
      </c>
      <c r="D9" s="8" t="s">
        <v>63</v>
      </c>
      <c r="E9" s="8" t="s">
        <v>64</v>
      </c>
      <c r="F9" s="8" t="s">
        <v>65</v>
      </c>
      <c r="G9" s="8" t="s">
        <v>36</v>
      </c>
      <c r="H9" s="9" t="n">
        <v>4</v>
      </c>
      <c r="I9" s="9" t="n">
        <v>4</v>
      </c>
      <c r="J9" s="9" t="n">
        <v>3</v>
      </c>
      <c r="K9" s="10" t="n">
        <f aca="false">IF(COUNT(H9:J9)=0,"",MAX(H9:J9))</f>
        <v>4</v>
      </c>
      <c r="L9" s="8" t="s">
        <v>66</v>
      </c>
      <c r="M9" s="8" t="s">
        <v>38</v>
      </c>
    </row>
    <row r="10" customFormat="false" ht="15" hidden="false" customHeight="false" outlineLevel="0" collapsed="false">
      <c r="A10" s="8"/>
      <c r="B10" s="8"/>
      <c r="C10" s="8"/>
      <c r="D10" s="8"/>
      <c r="E10" s="8"/>
      <c r="F10" s="8"/>
      <c r="G10" s="8"/>
      <c r="H10" s="9"/>
      <c r="I10" s="9"/>
      <c r="J10" s="9"/>
      <c r="K10" s="10" t="str">
        <f aca="false">IF(COUNT(H10:J10)=0,"",MAX(H10:J10))</f>
        <v/>
      </c>
      <c r="L10" s="8"/>
      <c r="M10" s="8"/>
    </row>
    <row r="11" customFormat="false" ht="15" hidden="false" customHeight="false" outlineLevel="0" collapsed="false">
      <c r="A11" s="8"/>
      <c r="B11" s="8"/>
      <c r="C11" s="8"/>
      <c r="D11" s="8"/>
      <c r="E11" s="8"/>
      <c r="F11" s="8"/>
      <c r="G11" s="8"/>
      <c r="H11" s="9"/>
      <c r="I11" s="9"/>
      <c r="J11" s="9"/>
      <c r="K11" s="10" t="str">
        <f aca="false">IF(COUNT(H11:J11)=0,"",MAX(H11:J11))</f>
        <v/>
      </c>
      <c r="L11" s="8"/>
      <c r="M11" s="8"/>
    </row>
    <row r="12" customFormat="false" ht="15" hidden="false" customHeight="false" outlineLevel="0" collapsed="false">
      <c r="A12" s="8"/>
      <c r="B12" s="8"/>
      <c r="C12" s="8"/>
      <c r="D12" s="8"/>
      <c r="E12" s="8"/>
      <c r="F12" s="8"/>
      <c r="G12" s="8"/>
      <c r="H12" s="9"/>
      <c r="I12" s="9"/>
      <c r="J12" s="9"/>
      <c r="K12" s="10" t="str">
        <f aca="false">IF(COUNT(H12:J12)=0,"",MAX(H12:J12))</f>
        <v/>
      </c>
      <c r="L12" s="8"/>
      <c r="M12" s="8"/>
    </row>
    <row r="13" customFormat="false" ht="15" hidden="false" customHeight="false" outlineLevel="0" collapsed="false">
      <c r="A13" s="8"/>
      <c r="B13" s="8"/>
      <c r="C13" s="8"/>
      <c r="D13" s="8"/>
      <c r="E13" s="8"/>
      <c r="F13" s="8"/>
      <c r="G13" s="8"/>
      <c r="H13" s="9"/>
      <c r="I13" s="9"/>
      <c r="J13" s="9"/>
      <c r="K13" s="10" t="str">
        <f aca="false">IF(COUNT(H13:J13)=0,"",MAX(H13:J13))</f>
        <v/>
      </c>
      <c r="L13" s="8"/>
      <c r="M13" s="8"/>
    </row>
    <row r="14" customFormat="false" ht="15" hidden="false" customHeight="false" outlineLevel="0" collapsed="false">
      <c r="A14" s="8"/>
      <c r="B14" s="8"/>
      <c r="C14" s="8"/>
      <c r="D14" s="8"/>
      <c r="E14" s="8"/>
      <c r="F14" s="8"/>
      <c r="G14" s="8"/>
      <c r="H14" s="9"/>
      <c r="I14" s="9"/>
      <c r="J14" s="9"/>
      <c r="K14" s="10" t="str">
        <f aca="false">IF(COUNT(H14:J14)=0,"",MAX(H14:J14))</f>
        <v/>
      </c>
      <c r="L14" s="8"/>
      <c r="M14" s="8"/>
    </row>
    <row r="15" customFormat="false" ht="15" hidden="false" customHeight="false" outlineLevel="0" collapsed="false">
      <c r="A15" s="8"/>
      <c r="B15" s="8"/>
      <c r="C15" s="8"/>
      <c r="D15" s="8"/>
      <c r="E15" s="8"/>
      <c r="F15" s="8"/>
      <c r="G15" s="8"/>
      <c r="H15" s="9"/>
      <c r="I15" s="9"/>
      <c r="J15" s="9"/>
      <c r="K15" s="10" t="str">
        <f aca="false">IF(COUNT(H15:J15)=0,"",MAX(H15:J15))</f>
        <v/>
      </c>
      <c r="L15" s="8"/>
      <c r="M15" s="8"/>
    </row>
    <row r="16" customFormat="false" ht="15" hidden="false" customHeight="false" outlineLevel="0" collapsed="false">
      <c r="A16" s="8"/>
      <c r="B16" s="8"/>
      <c r="C16" s="8"/>
      <c r="D16" s="8"/>
      <c r="E16" s="8"/>
      <c r="F16" s="8"/>
      <c r="G16" s="8"/>
      <c r="H16" s="9"/>
      <c r="I16" s="9"/>
      <c r="J16" s="9"/>
      <c r="K16" s="10" t="str">
        <f aca="false">IF(COUNT(H16:J16)=0,"",MAX(H16:J16))</f>
        <v/>
      </c>
      <c r="L16" s="8"/>
      <c r="M16" s="8"/>
    </row>
    <row r="17" customFormat="false" ht="15" hidden="false" customHeight="false" outlineLevel="0" collapsed="false">
      <c r="A17" s="8"/>
      <c r="B17" s="8"/>
      <c r="C17" s="8"/>
      <c r="D17" s="8"/>
      <c r="E17" s="8"/>
      <c r="F17" s="8"/>
      <c r="G17" s="8"/>
      <c r="H17" s="9"/>
      <c r="I17" s="9"/>
      <c r="J17" s="9"/>
      <c r="K17" s="10" t="str">
        <f aca="false">IF(COUNT(H17:J17)=0,"",MAX(H17:J17))</f>
        <v/>
      </c>
      <c r="L17" s="8"/>
      <c r="M17" s="8"/>
    </row>
    <row r="18" customFormat="false" ht="15" hidden="false" customHeight="false" outlineLevel="0" collapsed="false">
      <c r="A18" s="8"/>
      <c r="B18" s="8"/>
      <c r="C18" s="8"/>
      <c r="D18" s="8"/>
      <c r="E18" s="8"/>
      <c r="F18" s="8"/>
      <c r="G18" s="8"/>
      <c r="H18" s="9"/>
      <c r="I18" s="9"/>
      <c r="J18" s="9"/>
      <c r="K18" s="10" t="str">
        <f aca="false">IF(COUNT(H18:J18)=0,"",MAX(H18:J18))</f>
        <v/>
      </c>
      <c r="L18" s="8"/>
      <c r="M18" s="8"/>
    </row>
    <row r="19" customFormat="false" ht="15" hidden="false" customHeight="false" outlineLevel="0" collapsed="false">
      <c r="A19" s="8"/>
      <c r="B19" s="8"/>
      <c r="C19" s="8"/>
      <c r="D19" s="8"/>
      <c r="E19" s="8"/>
      <c r="F19" s="8"/>
      <c r="G19" s="8"/>
      <c r="H19" s="9"/>
      <c r="I19" s="9"/>
      <c r="J19" s="9"/>
      <c r="K19" s="10" t="str">
        <f aca="false">IF(COUNT(H19:J19)=0,"",MAX(H19:J19))</f>
        <v/>
      </c>
      <c r="L19" s="8"/>
      <c r="M19" s="8"/>
    </row>
    <row r="20" customFormat="false" ht="15" hidden="false" customHeight="false" outlineLevel="0" collapsed="false">
      <c r="A20" s="8"/>
      <c r="B20" s="8"/>
      <c r="C20" s="8"/>
      <c r="D20" s="8"/>
      <c r="E20" s="8"/>
      <c r="F20" s="8"/>
      <c r="G20" s="8"/>
      <c r="H20" s="9"/>
      <c r="I20" s="9"/>
      <c r="J20" s="9"/>
      <c r="K20" s="10" t="str">
        <f aca="false">IF(COUNT(H20:J20)=0,"",MAX(H20:J20))</f>
        <v/>
      </c>
      <c r="L20" s="8"/>
      <c r="M20" s="8"/>
    </row>
    <row r="21" customFormat="false" ht="15" hidden="false" customHeight="false" outlineLevel="0" collapsed="false">
      <c r="A21" s="8"/>
      <c r="B21" s="8"/>
      <c r="C21" s="8"/>
      <c r="D21" s="8"/>
      <c r="E21" s="8"/>
      <c r="F21" s="8"/>
      <c r="G21" s="8"/>
      <c r="H21" s="9"/>
      <c r="I21" s="9"/>
      <c r="J21" s="9"/>
      <c r="K21" s="10" t="str">
        <f aca="false">IF(COUNT(H21:J21)=0,"",MAX(H21:J21))</f>
        <v/>
      </c>
      <c r="L21" s="8"/>
      <c r="M21" s="8"/>
    </row>
    <row r="22" customFormat="false" ht="15" hidden="false" customHeight="false" outlineLevel="0" collapsed="false">
      <c r="A22" s="8"/>
      <c r="B22" s="8"/>
      <c r="C22" s="8"/>
      <c r="D22" s="8"/>
      <c r="E22" s="8"/>
      <c r="F22" s="8"/>
      <c r="G22" s="8"/>
      <c r="H22" s="9"/>
      <c r="I22" s="9"/>
      <c r="J22" s="9"/>
      <c r="K22" s="10" t="str">
        <f aca="false">IF(COUNT(H22:J22)=0,"",MAX(H22:J22))</f>
        <v/>
      </c>
      <c r="L22" s="8"/>
      <c r="M22" s="8"/>
    </row>
    <row r="23" customFormat="false" ht="15" hidden="false" customHeight="false" outlineLevel="0" collapsed="false">
      <c r="A23" s="8"/>
      <c r="B23" s="8"/>
      <c r="C23" s="8"/>
      <c r="D23" s="8"/>
      <c r="E23" s="8"/>
      <c r="F23" s="8"/>
      <c r="G23" s="8"/>
      <c r="H23" s="9"/>
      <c r="I23" s="9"/>
      <c r="J23" s="9"/>
      <c r="K23" s="10" t="str">
        <f aca="false">IF(COUNT(H23:J23)=0,"",MAX(H23:J23))</f>
        <v/>
      </c>
      <c r="L23" s="8"/>
      <c r="M23" s="8"/>
    </row>
    <row r="24" customFormat="false" ht="15" hidden="false" customHeight="false" outlineLevel="0" collapsed="false">
      <c r="A24" s="8"/>
      <c r="B24" s="8"/>
      <c r="C24" s="8"/>
      <c r="D24" s="8"/>
      <c r="E24" s="8"/>
      <c r="F24" s="8"/>
      <c r="G24" s="8"/>
      <c r="H24" s="9"/>
      <c r="I24" s="9"/>
      <c r="J24" s="9"/>
      <c r="K24" s="10" t="str">
        <f aca="false">IF(COUNT(H24:J24)=0,"",MAX(H24:J24))</f>
        <v/>
      </c>
      <c r="L24" s="8"/>
      <c r="M24" s="8"/>
    </row>
    <row r="25" customFormat="false" ht="15" hidden="false" customHeight="false" outlineLevel="0" collapsed="false">
      <c r="A25" s="8"/>
      <c r="B25" s="8"/>
      <c r="C25" s="8"/>
      <c r="D25" s="8"/>
      <c r="E25" s="8"/>
      <c r="F25" s="8"/>
      <c r="G25" s="8"/>
      <c r="H25" s="9"/>
      <c r="I25" s="9"/>
      <c r="J25" s="9"/>
      <c r="K25" s="10" t="str">
        <f aca="false">IF(COUNT(H25:J25)=0,"",MAX(H25:J25))</f>
        <v/>
      </c>
      <c r="L25" s="8"/>
      <c r="M25" s="8"/>
    </row>
    <row r="26" customFormat="false" ht="15" hidden="false" customHeight="false" outlineLevel="0" collapsed="false">
      <c r="A26" s="8"/>
      <c r="B26" s="8"/>
      <c r="C26" s="8"/>
      <c r="D26" s="8"/>
      <c r="E26" s="8"/>
      <c r="F26" s="8"/>
      <c r="G26" s="8"/>
      <c r="H26" s="9"/>
      <c r="I26" s="9"/>
      <c r="J26" s="9"/>
      <c r="K26" s="10" t="str">
        <f aca="false">IF(COUNT(H26:J26)=0,"",MAX(H26:J26))</f>
        <v/>
      </c>
      <c r="L26" s="8"/>
      <c r="M26" s="8"/>
    </row>
    <row r="27" customFormat="false" ht="15" hidden="false" customHeight="false" outlineLevel="0" collapsed="false">
      <c r="A27" s="8"/>
      <c r="B27" s="8"/>
      <c r="C27" s="8"/>
      <c r="D27" s="8"/>
      <c r="E27" s="8"/>
      <c r="F27" s="8"/>
      <c r="G27" s="8"/>
      <c r="H27" s="9"/>
      <c r="I27" s="9"/>
      <c r="J27" s="9"/>
      <c r="K27" s="10" t="str">
        <f aca="false">IF(COUNT(H27:J27)=0,"",MAX(H27:J27))</f>
        <v/>
      </c>
      <c r="L27" s="8"/>
      <c r="M27" s="8"/>
    </row>
    <row r="28" customFormat="false" ht="15" hidden="false" customHeight="false" outlineLevel="0" collapsed="false">
      <c r="A28" s="8"/>
      <c r="B28" s="8"/>
      <c r="C28" s="8"/>
      <c r="D28" s="8"/>
      <c r="E28" s="8"/>
      <c r="F28" s="8"/>
      <c r="G28" s="8"/>
      <c r="H28" s="9"/>
      <c r="I28" s="9"/>
      <c r="J28" s="9"/>
      <c r="K28" s="10" t="str">
        <f aca="false">IF(COUNT(H28:J28)=0,"",MAX(H28:J28))</f>
        <v/>
      </c>
      <c r="L28" s="8"/>
      <c r="M28" s="8"/>
    </row>
    <row r="29" customFormat="false" ht="15" hidden="false" customHeight="false" outlineLevel="0" collapsed="false">
      <c r="A29" s="8"/>
      <c r="B29" s="8"/>
      <c r="C29" s="8"/>
      <c r="D29" s="8"/>
      <c r="E29" s="8"/>
      <c r="F29" s="8"/>
      <c r="G29" s="8"/>
      <c r="H29" s="9"/>
      <c r="I29" s="9"/>
      <c r="J29" s="9"/>
      <c r="K29" s="10" t="str">
        <f aca="false">IF(COUNT(H29:J29)=0,"",MAX(H29:J29))</f>
        <v/>
      </c>
      <c r="L29" s="8"/>
      <c r="M29" s="8"/>
    </row>
    <row r="30" customFormat="false" ht="15" hidden="false" customHeight="false" outlineLevel="0" collapsed="false">
      <c r="A30" s="8"/>
      <c r="B30" s="8"/>
      <c r="C30" s="8"/>
      <c r="D30" s="8"/>
      <c r="E30" s="8"/>
      <c r="F30" s="8"/>
      <c r="G30" s="8"/>
      <c r="H30" s="9"/>
      <c r="I30" s="9"/>
      <c r="J30" s="9"/>
      <c r="K30" s="10" t="str">
        <f aca="false">IF(COUNT(H30:J30)=0,"",MAX(H30:J30))</f>
        <v/>
      </c>
      <c r="L30" s="8"/>
      <c r="M30" s="8"/>
    </row>
    <row r="31" customFormat="false" ht="15" hidden="false" customHeight="false" outlineLevel="0" collapsed="false">
      <c r="A31" s="8"/>
      <c r="B31" s="8"/>
      <c r="C31" s="8"/>
      <c r="D31" s="8"/>
      <c r="E31" s="8"/>
      <c r="F31" s="8"/>
      <c r="G31" s="8"/>
      <c r="H31" s="9"/>
      <c r="I31" s="9"/>
      <c r="J31" s="9"/>
      <c r="K31" s="10" t="str">
        <f aca="false">IF(COUNT(H31:J31)=0,"",MAX(H31:J31))</f>
        <v/>
      </c>
      <c r="L31" s="8"/>
      <c r="M31" s="8"/>
    </row>
    <row r="32" customFormat="false" ht="15" hidden="false" customHeight="false" outlineLevel="0" collapsed="false">
      <c r="A32" s="8"/>
      <c r="B32" s="8"/>
      <c r="C32" s="8"/>
      <c r="D32" s="8"/>
      <c r="E32" s="8"/>
      <c r="F32" s="8"/>
      <c r="G32" s="8"/>
      <c r="H32" s="9"/>
      <c r="I32" s="9"/>
      <c r="J32" s="9"/>
      <c r="K32" s="10" t="str">
        <f aca="false">IF(COUNT(H32:J32)=0,"",MAX(H32:J32))</f>
        <v/>
      </c>
      <c r="L32" s="8"/>
      <c r="M32" s="8"/>
    </row>
    <row r="33" customFormat="false" ht="15" hidden="false" customHeight="false" outlineLevel="0" collapsed="false">
      <c r="A33" s="8"/>
      <c r="B33" s="8"/>
      <c r="C33" s="8"/>
      <c r="D33" s="8"/>
      <c r="E33" s="8"/>
      <c r="F33" s="8"/>
      <c r="G33" s="8"/>
      <c r="H33" s="9"/>
      <c r="I33" s="9"/>
      <c r="J33" s="9"/>
      <c r="K33" s="10" t="str">
        <f aca="false">IF(COUNT(H33:J33)=0,"",MAX(H33:J33))</f>
        <v/>
      </c>
      <c r="L33" s="8"/>
      <c r="M33" s="8"/>
    </row>
    <row r="34" customFormat="false" ht="15" hidden="false" customHeight="false" outlineLevel="0" collapsed="false">
      <c r="A34" s="8"/>
      <c r="B34" s="8"/>
      <c r="C34" s="8"/>
      <c r="D34" s="8"/>
      <c r="E34" s="8"/>
      <c r="F34" s="8"/>
      <c r="G34" s="8"/>
      <c r="H34" s="9"/>
      <c r="I34" s="9"/>
      <c r="J34" s="9"/>
      <c r="K34" s="10" t="str">
        <f aca="false">IF(COUNT(H34:J34)=0,"",MAX(H34:J34))</f>
        <v/>
      </c>
      <c r="L34" s="8"/>
      <c r="M34" s="8"/>
    </row>
    <row r="35" customFormat="false" ht="15" hidden="false" customHeight="false" outlineLevel="0" collapsed="false">
      <c r="A35" s="8"/>
      <c r="B35" s="8"/>
      <c r="C35" s="8"/>
      <c r="D35" s="8"/>
      <c r="E35" s="8"/>
      <c r="F35" s="8"/>
      <c r="G35" s="8"/>
      <c r="H35" s="9"/>
      <c r="I35" s="9"/>
      <c r="J35" s="9"/>
      <c r="K35" s="10" t="str">
        <f aca="false">IF(COUNT(H35:J35)=0,"",MAX(H35:J35))</f>
        <v/>
      </c>
      <c r="L35" s="8"/>
      <c r="M35" s="8"/>
    </row>
    <row r="36" customFormat="false" ht="15" hidden="false" customHeight="false" outlineLevel="0" collapsed="false">
      <c r="A36" s="8"/>
      <c r="B36" s="8"/>
      <c r="C36" s="8"/>
      <c r="D36" s="8"/>
      <c r="E36" s="8"/>
      <c r="F36" s="8"/>
      <c r="G36" s="8"/>
      <c r="H36" s="9"/>
      <c r="I36" s="9"/>
      <c r="J36" s="9"/>
      <c r="K36" s="10" t="str">
        <f aca="false">IF(COUNT(H36:J36)=0,"",MAX(H36:J36))</f>
        <v/>
      </c>
      <c r="L36" s="8"/>
      <c r="M36" s="8"/>
    </row>
    <row r="37" customFormat="false" ht="15" hidden="false" customHeight="false" outlineLevel="0" collapsed="false">
      <c r="A37" s="8"/>
      <c r="B37" s="8"/>
      <c r="C37" s="8"/>
      <c r="D37" s="8"/>
      <c r="E37" s="8"/>
      <c r="F37" s="8"/>
      <c r="G37" s="8"/>
      <c r="H37" s="9"/>
      <c r="I37" s="9"/>
      <c r="J37" s="9"/>
      <c r="K37" s="10" t="str">
        <f aca="false">IF(COUNT(H37:J37)=0,"",MAX(H37:J37))</f>
        <v/>
      </c>
      <c r="L37" s="8"/>
      <c r="M37" s="8"/>
    </row>
    <row r="38" customFormat="false" ht="15" hidden="false" customHeight="false" outlineLevel="0" collapsed="false">
      <c r="A38" s="8"/>
      <c r="B38" s="8"/>
      <c r="C38" s="8"/>
      <c r="D38" s="8"/>
      <c r="E38" s="8"/>
      <c r="F38" s="8"/>
      <c r="G38" s="8"/>
      <c r="H38" s="9"/>
      <c r="I38" s="9"/>
      <c r="J38" s="9"/>
      <c r="K38" s="10" t="str">
        <f aca="false">IF(COUNT(H38:J38)=0,"",MAX(H38:J38))</f>
        <v/>
      </c>
      <c r="L38" s="8"/>
      <c r="M38" s="8"/>
    </row>
    <row r="39" customFormat="false" ht="15" hidden="false" customHeight="false" outlineLevel="0" collapsed="false">
      <c r="A39" s="8"/>
      <c r="B39" s="8"/>
      <c r="C39" s="8"/>
      <c r="D39" s="8"/>
      <c r="E39" s="8"/>
      <c r="F39" s="8"/>
      <c r="G39" s="8"/>
      <c r="H39" s="9"/>
      <c r="I39" s="9"/>
      <c r="J39" s="9"/>
      <c r="K39" s="10" t="str">
        <f aca="false">IF(COUNT(H39:J39)=0,"",MAX(H39:J39))</f>
        <v/>
      </c>
      <c r="L39" s="8"/>
      <c r="M39" s="8"/>
    </row>
    <row r="40" customFormat="false" ht="15" hidden="false" customHeight="false" outlineLevel="0" collapsed="false">
      <c r="A40" s="8"/>
      <c r="B40" s="8"/>
      <c r="C40" s="8"/>
      <c r="D40" s="8"/>
      <c r="E40" s="8"/>
      <c r="F40" s="8"/>
      <c r="G40" s="8"/>
      <c r="H40" s="9"/>
      <c r="I40" s="9"/>
      <c r="J40" s="9"/>
      <c r="K40" s="10" t="str">
        <f aca="false">IF(COUNT(H40:J40)=0,"",MAX(H40:J40))</f>
        <v/>
      </c>
      <c r="L40" s="8"/>
      <c r="M40" s="8"/>
    </row>
    <row r="41" customFormat="false" ht="15" hidden="false" customHeight="false" outlineLevel="0" collapsed="false">
      <c r="A41" s="8"/>
      <c r="B41" s="8"/>
      <c r="C41" s="8"/>
      <c r="D41" s="8"/>
      <c r="E41" s="8"/>
      <c r="F41" s="8"/>
      <c r="G41" s="8"/>
      <c r="H41" s="9"/>
      <c r="I41" s="9"/>
      <c r="J41" s="9"/>
      <c r="K41" s="10" t="str">
        <f aca="false">IF(COUNT(H41:J41)=0,"",MAX(H41:J41))</f>
        <v/>
      </c>
      <c r="L41" s="8"/>
      <c r="M41" s="8"/>
    </row>
    <row r="42" customFormat="false" ht="15" hidden="false" customHeight="false" outlineLevel="0" collapsed="false">
      <c r="A42" s="8"/>
      <c r="B42" s="8"/>
      <c r="C42" s="8"/>
      <c r="D42" s="8"/>
      <c r="E42" s="8"/>
      <c r="F42" s="8"/>
      <c r="G42" s="8"/>
      <c r="H42" s="9"/>
      <c r="I42" s="9"/>
      <c r="J42" s="9"/>
      <c r="K42" s="10" t="str">
        <f aca="false">IF(COUNT(H42:J42)=0,"",MAX(H42:J42))</f>
        <v/>
      </c>
      <c r="L42" s="8"/>
      <c r="M42" s="8"/>
    </row>
    <row r="43" customFormat="false" ht="15" hidden="false" customHeight="false" outlineLevel="0" collapsed="false">
      <c r="A43" s="8"/>
      <c r="B43" s="8"/>
      <c r="C43" s="8"/>
      <c r="D43" s="8"/>
      <c r="E43" s="8"/>
      <c r="F43" s="8"/>
      <c r="G43" s="8"/>
      <c r="H43" s="9"/>
      <c r="I43" s="9"/>
      <c r="J43" s="9"/>
      <c r="K43" s="10" t="str">
        <f aca="false">IF(COUNT(H43:J43)=0,"",MAX(H43:J43))</f>
        <v/>
      </c>
      <c r="L43" s="8"/>
      <c r="M43" s="8"/>
    </row>
    <row r="44" customFormat="false" ht="15" hidden="false" customHeight="false" outlineLevel="0" collapsed="false">
      <c r="A44" s="8"/>
      <c r="B44" s="8"/>
      <c r="C44" s="8"/>
      <c r="D44" s="8"/>
      <c r="E44" s="8"/>
      <c r="F44" s="8"/>
      <c r="G44" s="8"/>
      <c r="H44" s="9"/>
      <c r="I44" s="9"/>
      <c r="J44" s="9"/>
      <c r="K44" s="10" t="str">
        <f aca="false">IF(COUNT(H44:J44)=0,"",MAX(H44:J44))</f>
        <v/>
      </c>
      <c r="L44" s="8"/>
      <c r="M44" s="8"/>
    </row>
    <row r="45" customFormat="false" ht="15" hidden="false" customHeight="false" outlineLevel="0" collapsed="false">
      <c r="A45" s="8"/>
      <c r="B45" s="8"/>
      <c r="C45" s="8"/>
      <c r="D45" s="8"/>
      <c r="E45" s="8"/>
      <c r="F45" s="8"/>
      <c r="G45" s="8"/>
      <c r="H45" s="9"/>
      <c r="I45" s="9"/>
      <c r="J45" s="9"/>
      <c r="K45" s="10" t="str">
        <f aca="false">IF(COUNT(H45:J45)=0,"",MAX(H45:J45))</f>
        <v/>
      </c>
      <c r="L45" s="8"/>
      <c r="M45" s="8"/>
    </row>
    <row r="46" customFormat="false" ht="15" hidden="false" customHeight="false" outlineLevel="0" collapsed="false">
      <c r="A46" s="8"/>
      <c r="B46" s="8"/>
      <c r="C46" s="8"/>
      <c r="D46" s="8"/>
      <c r="E46" s="8"/>
      <c r="F46" s="8"/>
      <c r="G46" s="8"/>
      <c r="H46" s="9"/>
      <c r="I46" s="9"/>
      <c r="J46" s="9"/>
      <c r="K46" s="10" t="str">
        <f aca="false">IF(COUNT(H46:J46)=0,"",MAX(H46:J46))</f>
        <v/>
      </c>
      <c r="L46" s="8"/>
      <c r="M46" s="8"/>
    </row>
    <row r="47" customFormat="false" ht="15" hidden="false" customHeight="false" outlineLevel="0" collapsed="false">
      <c r="A47" s="8"/>
      <c r="B47" s="8"/>
      <c r="C47" s="8"/>
      <c r="D47" s="8"/>
      <c r="E47" s="8"/>
      <c r="F47" s="8"/>
      <c r="G47" s="8"/>
      <c r="H47" s="9"/>
      <c r="I47" s="9"/>
      <c r="J47" s="9"/>
      <c r="K47" s="10" t="str">
        <f aca="false">IF(COUNT(H47:J47)=0,"",MAX(H47:J47))</f>
        <v/>
      </c>
      <c r="L47" s="8"/>
      <c r="M47" s="8"/>
    </row>
    <row r="48" customFormat="false" ht="15" hidden="false" customHeight="false" outlineLevel="0" collapsed="false">
      <c r="A48" s="8"/>
      <c r="B48" s="8"/>
      <c r="C48" s="8"/>
      <c r="D48" s="8"/>
      <c r="E48" s="8"/>
      <c r="F48" s="8"/>
      <c r="G48" s="8"/>
      <c r="H48" s="9"/>
      <c r="I48" s="9"/>
      <c r="J48" s="9"/>
      <c r="K48" s="10" t="str">
        <f aca="false">IF(COUNT(H48:J48)=0,"",MAX(H48:J48))</f>
        <v/>
      </c>
      <c r="L48" s="8"/>
      <c r="M48" s="8"/>
    </row>
    <row r="49" customFormat="false" ht="15" hidden="false" customHeight="false" outlineLevel="0" collapsed="false">
      <c r="A49" s="8"/>
      <c r="B49" s="8"/>
      <c r="C49" s="8"/>
      <c r="D49" s="8"/>
      <c r="E49" s="8"/>
      <c r="F49" s="8"/>
      <c r="G49" s="8"/>
      <c r="H49" s="9"/>
      <c r="I49" s="9"/>
      <c r="J49" s="9"/>
      <c r="K49" s="10" t="str">
        <f aca="false">IF(COUNT(H49:J49)=0,"",MAX(H49:J49))</f>
        <v/>
      </c>
      <c r="L49" s="8"/>
      <c r="M49" s="8"/>
    </row>
    <row r="50" customFormat="false" ht="15" hidden="false" customHeight="false" outlineLevel="0" collapsed="false">
      <c r="A50" s="8"/>
      <c r="B50" s="8"/>
      <c r="C50" s="8"/>
      <c r="D50" s="8"/>
      <c r="E50" s="8"/>
      <c r="F50" s="8"/>
      <c r="G50" s="8"/>
      <c r="H50" s="9"/>
      <c r="I50" s="9"/>
      <c r="J50" s="9"/>
      <c r="K50" s="10" t="str">
        <f aca="false">IF(COUNT(H50:J50)=0,"",MAX(H50:J50))</f>
        <v/>
      </c>
      <c r="L50" s="8"/>
      <c r="M50" s="8"/>
    </row>
    <row r="51" customFormat="false" ht="15" hidden="false" customHeight="false" outlineLevel="0" collapsed="false">
      <c r="A51" s="8"/>
      <c r="B51" s="8"/>
      <c r="C51" s="8"/>
      <c r="D51" s="8"/>
      <c r="E51" s="8"/>
      <c r="F51" s="8"/>
      <c r="G51" s="8"/>
      <c r="H51" s="9"/>
      <c r="I51" s="9"/>
      <c r="J51" s="9"/>
      <c r="K51" s="10" t="str">
        <f aca="false">IF(COUNT(H51:J51)=0,"",MAX(H51:J51))</f>
        <v/>
      </c>
      <c r="L51" s="8"/>
      <c r="M51" s="8"/>
    </row>
    <row r="52" customFormat="false" ht="15" hidden="false" customHeight="false" outlineLevel="0" collapsed="false">
      <c r="A52" s="8"/>
      <c r="B52" s="8"/>
      <c r="C52" s="8"/>
      <c r="D52" s="8"/>
      <c r="E52" s="8"/>
      <c r="F52" s="8"/>
      <c r="G52" s="8"/>
      <c r="H52" s="9"/>
      <c r="I52" s="9"/>
      <c r="J52" s="9"/>
      <c r="K52" s="10" t="str">
        <f aca="false">IF(COUNT(H52:J52)=0,"",MAX(H52:J52))</f>
        <v/>
      </c>
      <c r="L52" s="8"/>
      <c r="M52" s="8"/>
    </row>
    <row r="53" customFormat="false" ht="15" hidden="false" customHeight="false" outlineLevel="0" collapsed="false">
      <c r="A53" s="8"/>
      <c r="B53" s="8"/>
      <c r="C53" s="8"/>
      <c r="D53" s="8"/>
      <c r="E53" s="8"/>
      <c r="F53" s="8"/>
      <c r="G53" s="8"/>
      <c r="H53" s="9"/>
      <c r="I53" s="9"/>
      <c r="J53" s="9"/>
      <c r="K53" s="10" t="str">
        <f aca="false">IF(COUNT(H53:J53)=0,"",MAX(H53:J53))</f>
        <v/>
      </c>
      <c r="L53" s="8"/>
      <c r="M53" s="8"/>
    </row>
    <row r="54" customFormat="false" ht="15" hidden="false" customHeight="false" outlineLevel="0" collapsed="false">
      <c r="A54" s="8"/>
      <c r="B54" s="8"/>
      <c r="C54" s="8"/>
      <c r="D54" s="8"/>
      <c r="E54" s="8"/>
      <c r="F54" s="8"/>
      <c r="G54" s="8"/>
      <c r="H54" s="9"/>
      <c r="I54" s="9"/>
      <c r="J54" s="9"/>
      <c r="K54" s="10" t="str">
        <f aca="false">IF(COUNT(H54:J54)=0,"",MAX(H54:J54))</f>
        <v/>
      </c>
      <c r="L54" s="8"/>
      <c r="M54" s="8"/>
    </row>
    <row r="55" customFormat="false" ht="15" hidden="false" customHeight="false" outlineLevel="0" collapsed="false">
      <c r="A55" s="8"/>
      <c r="B55" s="8"/>
      <c r="C55" s="8"/>
      <c r="D55" s="8"/>
      <c r="E55" s="8"/>
      <c r="F55" s="8"/>
      <c r="G55" s="8"/>
      <c r="H55" s="9"/>
      <c r="I55" s="9"/>
      <c r="J55" s="9"/>
      <c r="K55" s="10" t="str">
        <f aca="false">IF(COUNT(H55:J55)=0,"",MAX(H55:J55))</f>
        <v/>
      </c>
      <c r="L55" s="8"/>
      <c r="M55" s="8"/>
    </row>
    <row r="56" customFormat="false" ht="15" hidden="false" customHeight="false" outlineLevel="0" collapsed="false">
      <c r="A56" s="8"/>
      <c r="B56" s="8"/>
      <c r="C56" s="8"/>
      <c r="D56" s="8"/>
      <c r="E56" s="8"/>
      <c r="F56" s="8"/>
      <c r="G56" s="8"/>
      <c r="H56" s="9"/>
      <c r="I56" s="9"/>
      <c r="J56" s="9"/>
      <c r="K56" s="10" t="str">
        <f aca="false">IF(COUNT(H56:J56)=0,"",MAX(H56:J56))</f>
        <v/>
      </c>
      <c r="L56" s="8"/>
      <c r="M56" s="8"/>
    </row>
    <row r="57" customFormat="false" ht="15" hidden="false" customHeight="false" outlineLevel="0" collapsed="false">
      <c r="A57" s="8"/>
      <c r="B57" s="8"/>
      <c r="C57" s="8"/>
      <c r="D57" s="8"/>
      <c r="E57" s="8"/>
      <c r="F57" s="8"/>
      <c r="G57" s="8"/>
      <c r="H57" s="9"/>
      <c r="I57" s="9"/>
      <c r="J57" s="9"/>
      <c r="K57" s="10" t="str">
        <f aca="false">IF(COUNT(H57:J57)=0,"",MAX(H57:J57))</f>
        <v/>
      </c>
      <c r="L57" s="8"/>
      <c r="M57" s="8"/>
    </row>
    <row r="58" customFormat="false" ht="15" hidden="false" customHeight="false" outlineLevel="0" collapsed="false">
      <c r="A58" s="8"/>
      <c r="B58" s="8"/>
      <c r="C58" s="8"/>
      <c r="D58" s="8"/>
      <c r="E58" s="8"/>
      <c r="F58" s="8"/>
      <c r="G58" s="8"/>
      <c r="H58" s="9"/>
      <c r="I58" s="9"/>
      <c r="J58" s="9"/>
      <c r="K58" s="10" t="str">
        <f aca="false">IF(COUNT(H58:J58)=0,"",MAX(H58:J58))</f>
        <v/>
      </c>
      <c r="L58" s="8"/>
      <c r="M58" s="8"/>
    </row>
    <row r="59" customFormat="false" ht="15" hidden="false" customHeight="false" outlineLevel="0" collapsed="false">
      <c r="A59" s="8"/>
      <c r="B59" s="8"/>
      <c r="C59" s="8"/>
      <c r="D59" s="8"/>
      <c r="E59" s="8"/>
      <c r="F59" s="8"/>
      <c r="G59" s="8"/>
      <c r="H59" s="9"/>
      <c r="I59" s="9"/>
      <c r="J59" s="9"/>
      <c r="K59" s="10" t="str">
        <f aca="false">IF(COUNT(H59:J59)=0,"",MAX(H59:J59))</f>
        <v/>
      </c>
      <c r="L59" s="8"/>
      <c r="M59" s="8"/>
    </row>
    <row r="60" customFormat="false" ht="15" hidden="false" customHeight="false" outlineLevel="0" collapsed="false">
      <c r="A60" s="8"/>
      <c r="B60" s="8"/>
      <c r="C60" s="8"/>
      <c r="D60" s="8"/>
      <c r="E60" s="8"/>
      <c r="F60" s="8"/>
      <c r="G60" s="8"/>
      <c r="H60" s="9"/>
      <c r="I60" s="9"/>
      <c r="J60" s="9"/>
      <c r="K60" s="10" t="str">
        <f aca="false">IF(COUNT(H60:J60)=0,"",MAX(H60:J60))</f>
        <v/>
      </c>
      <c r="L60" s="8"/>
      <c r="M60" s="8"/>
    </row>
    <row r="61" customFormat="false" ht="15" hidden="false" customHeight="false" outlineLevel="0" collapsed="false">
      <c r="A61" s="8"/>
      <c r="B61" s="8"/>
      <c r="C61" s="8"/>
      <c r="D61" s="8"/>
      <c r="E61" s="8"/>
      <c r="F61" s="8"/>
      <c r="G61" s="8"/>
      <c r="H61" s="9"/>
      <c r="I61" s="9"/>
      <c r="J61" s="9"/>
      <c r="K61" s="10" t="str">
        <f aca="false">IF(COUNT(H61:J61)=0,"",MAX(H61:J61))</f>
        <v/>
      </c>
      <c r="L61" s="8"/>
      <c r="M61" s="8"/>
    </row>
    <row r="62" customFormat="false" ht="15" hidden="false" customHeight="false" outlineLevel="0" collapsed="false">
      <c r="A62" s="8"/>
      <c r="B62" s="8"/>
      <c r="C62" s="8"/>
      <c r="D62" s="8"/>
      <c r="E62" s="8"/>
      <c r="F62" s="8"/>
      <c r="G62" s="8"/>
      <c r="H62" s="9"/>
      <c r="I62" s="9"/>
      <c r="J62" s="9"/>
      <c r="K62" s="10" t="str">
        <f aca="false">IF(COUNT(H62:J62)=0,"",MAX(H62:J62))</f>
        <v/>
      </c>
      <c r="L62" s="8"/>
      <c r="M62" s="8"/>
    </row>
    <row r="63" customFormat="false" ht="15" hidden="false" customHeight="false" outlineLevel="0" collapsed="false">
      <c r="A63" s="8"/>
      <c r="B63" s="8"/>
      <c r="C63" s="8"/>
      <c r="D63" s="8"/>
      <c r="E63" s="8"/>
      <c r="F63" s="8"/>
      <c r="G63" s="8"/>
      <c r="H63" s="9"/>
      <c r="I63" s="9"/>
      <c r="J63" s="9"/>
      <c r="K63" s="10" t="str">
        <f aca="false">IF(COUNT(H63:J63)=0,"",MAX(H63:J63))</f>
        <v/>
      </c>
      <c r="L63" s="8"/>
      <c r="M63" s="8"/>
    </row>
    <row r="64" customFormat="false" ht="15" hidden="false" customHeight="false" outlineLevel="0" collapsed="false">
      <c r="A64" s="8"/>
      <c r="B64" s="8"/>
      <c r="C64" s="8"/>
      <c r="D64" s="8"/>
      <c r="E64" s="8"/>
      <c r="F64" s="8"/>
      <c r="G64" s="8"/>
      <c r="H64" s="9"/>
      <c r="I64" s="9"/>
      <c r="J64" s="9"/>
      <c r="K64" s="10" t="str">
        <f aca="false">IF(COUNT(H64:J64)=0,"",MAX(H64:J64))</f>
        <v/>
      </c>
      <c r="L64" s="8"/>
      <c r="M64" s="8"/>
    </row>
    <row r="65" customFormat="false" ht="15" hidden="false" customHeight="false" outlineLevel="0" collapsed="false">
      <c r="A65" s="8"/>
      <c r="B65" s="8"/>
      <c r="C65" s="8"/>
      <c r="D65" s="8"/>
      <c r="E65" s="8"/>
      <c r="F65" s="8"/>
      <c r="G65" s="8"/>
      <c r="H65" s="9"/>
      <c r="I65" s="9"/>
      <c r="J65" s="9"/>
      <c r="K65" s="10" t="str">
        <f aca="false">IF(COUNT(H65:J65)=0,"",MAX(H65:J65))</f>
        <v/>
      </c>
      <c r="L65" s="8"/>
      <c r="M65" s="8"/>
    </row>
    <row r="66" customFormat="false" ht="15" hidden="false" customHeight="false" outlineLevel="0" collapsed="false">
      <c r="A66" s="8"/>
      <c r="B66" s="8"/>
      <c r="C66" s="8"/>
      <c r="D66" s="8"/>
      <c r="E66" s="8"/>
      <c r="F66" s="8"/>
      <c r="G66" s="8"/>
      <c r="H66" s="9"/>
      <c r="I66" s="9"/>
      <c r="J66" s="9"/>
      <c r="K66" s="10" t="str">
        <f aca="false">IF(COUNT(H66:J66)=0,"",MAX(H66:J66))</f>
        <v/>
      </c>
      <c r="L66" s="8"/>
      <c r="M66" s="8"/>
    </row>
    <row r="67" customFormat="false" ht="15" hidden="false" customHeight="false" outlineLevel="0" collapsed="false">
      <c r="A67" s="8"/>
      <c r="B67" s="8"/>
      <c r="C67" s="8"/>
      <c r="D67" s="8"/>
      <c r="E67" s="8"/>
      <c r="F67" s="8"/>
      <c r="G67" s="8"/>
      <c r="H67" s="9"/>
      <c r="I67" s="9"/>
      <c r="J67" s="9"/>
      <c r="K67" s="10" t="str">
        <f aca="false">IF(COUNT(H67:J67)=0,"",MAX(H67:J67))</f>
        <v/>
      </c>
      <c r="L67" s="8"/>
      <c r="M67" s="8"/>
    </row>
    <row r="68" customFormat="false" ht="15" hidden="false" customHeight="false" outlineLevel="0" collapsed="false">
      <c r="A68" s="8"/>
      <c r="B68" s="8"/>
      <c r="C68" s="8"/>
      <c r="D68" s="8"/>
      <c r="E68" s="8"/>
      <c r="F68" s="8"/>
      <c r="G68" s="8"/>
      <c r="H68" s="9"/>
      <c r="I68" s="9"/>
      <c r="J68" s="9"/>
      <c r="K68" s="10" t="str">
        <f aca="false">IF(COUNT(H68:J68)=0,"",MAX(H68:J68))</f>
        <v/>
      </c>
      <c r="L68" s="8"/>
      <c r="M68" s="8"/>
    </row>
    <row r="69" customFormat="false" ht="15" hidden="false" customHeight="false" outlineLevel="0" collapsed="false">
      <c r="A69" s="8"/>
      <c r="B69" s="8"/>
      <c r="C69" s="8"/>
      <c r="D69" s="8"/>
      <c r="E69" s="8"/>
      <c r="F69" s="8"/>
      <c r="G69" s="8"/>
      <c r="H69" s="9"/>
      <c r="I69" s="9"/>
      <c r="J69" s="9"/>
      <c r="K69" s="10" t="str">
        <f aca="false">IF(COUNT(H69:J69)=0,"",MAX(H69:J69))</f>
        <v/>
      </c>
      <c r="L69" s="8"/>
      <c r="M69" s="8"/>
    </row>
    <row r="70" customFormat="false" ht="15" hidden="false" customHeight="false" outlineLevel="0" collapsed="false">
      <c r="A70" s="8"/>
      <c r="B70" s="8"/>
      <c r="C70" s="8"/>
      <c r="D70" s="8"/>
      <c r="E70" s="8"/>
      <c r="F70" s="8"/>
      <c r="G70" s="8"/>
      <c r="H70" s="9"/>
      <c r="I70" s="9"/>
      <c r="J70" s="9"/>
      <c r="K70" s="10" t="str">
        <f aca="false">IF(COUNT(H70:J70)=0,"",MAX(H70:J70))</f>
        <v/>
      </c>
      <c r="L70" s="8"/>
      <c r="M70" s="8"/>
    </row>
    <row r="71" customFormat="false" ht="15" hidden="false" customHeight="false" outlineLevel="0" collapsed="false">
      <c r="A71" s="8"/>
      <c r="B71" s="8"/>
      <c r="C71" s="8"/>
      <c r="D71" s="8"/>
      <c r="E71" s="8"/>
      <c r="F71" s="8"/>
      <c r="G71" s="8"/>
      <c r="H71" s="9"/>
      <c r="I71" s="9"/>
      <c r="J71" s="9"/>
      <c r="K71" s="10" t="str">
        <f aca="false">IF(COUNT(H71:J71)=0,"",MAX(H71:J71))</f>
        <v/>
      </c>
      <c r="L71" s="8"/>
      <c r="M71" s="8"/>
    </row>
    <row r="72" customFormat="false" ht="15" hidden="false" customHeight="false" outlineLevel="0" collapsed="false">
      <c r="A72" s="8"/>
      <c r="B72" s="8"/>
      <c r="C72" s="8"/>
      <c r="D72" s="8"/>
      <c r="E72" s="8"/>
      <c r="F72" s="8"/>
      <c r="G72" s="8"/>
      <c r="H72" s="9"/>
      <c r="I72" s="9"/>
      <c r="J72" s="9"/>
      <c r="K72" s="10" t="str">
        <f aca="false">IF(COUNT(H72:J72)=0,"",MAX(H72:J72))</f>
        <v/>
      </c>
      <c r="L72" s="8"/>
      <c r="M72" s="8"/>
    </row>
    <row r="73" customFormat="false" ht="15" hidden="false" customHeight="false" outlineLevel="0" collapsed="false">
      <c r="A73" s="8"/>
      <c r="B73" s="8"/>
      <c r="C73" s="8"/>
      <c r="D73" s="8"/>
      <c r="E73" s="8"/>
      <c r="F73" s="8"/>
      <c r="G73" s="8"/>
      <c r="H73" s="9"/>
      <c r="I73" s="9"/>
      <c r="J73" s="9"/>
      <c r="K73" s="10" t="str">
        <f aca="false">IF(COUNT(H73:J73)=0,"",MAX(H73:J73))</f>
        <v/>
      </c>
      <c r="L73" s="8"/>
      <c r="M73" s="8"/>
    </row>
    <row r="74" customFormat="false" ht="15" hidden="false" customHeight="false" outlineLevel="0" collapsed="false">
      <c r="A74" s="8"/>
      <c r="B74" s="8"/>
      <c r="C74" s="8"/>
      <c r="D74" s="8"/>
      <c r="E74" s="8"/>
      <c r="F74" s="8"/>
      <c r="G74" s="8"/>
      <c r="H74" s="9"/>
      <c r="I74" s="9"/>
      <c r="J74" s="9"/>
      <c r="K74" s="10" t="str">
        <f aca="false">IF(COUNT(H74:J74)=0,"",MAX(H74:J74))</f>
        <v/>
      </c>
      <c r="L74" s="8"/>
      <c r="M74" s="8"/>
    </row>
    <row r="75" customFormat="false" ht="15" hidden="false" customHeight="false" outlineLevel="0" collapsed="false">
      <c r="A75" s="8"/>
      <c r="B75" s="8"/>
      <c r="C75" s="8"/>
      <c r="D75" s="8"/>
      <c r="E75" s="8"/>
      <c r="F75" s="8"/>
      <c r="G75" s="8"/>
      <c r="H75" s="9"/>
      <c r="I75" s="9"/>
      <c r="J75" s="9"/>
      <c r="K75" s="10" t="str">
        <f aca="false">IF(COUNT(H75:J75)=0,"",MAX(H75:J75))</f>
        <v/>
      </c>
      <c r="L75" s="8"/>
      <c r="M75" s="8"/>
    </row>
    <row r="76" customFormat="false" ht="15" hidden="false" customHeight="false" outlineLevel="0" collapsed="false">
      <c r="A76" s="8"/>
      <c r="B76" s="8"/>
      <c r="C76" s="8"/>
      <c r="D76" s="8"/>
      <c r="E76" s="8"/>
      <c r="F76" s="8"/>
      <c r="G76" s="8"/>
      <c r="H76" s="9"/>
      <c r="I76" s="9"/>
      <c r="J76" s="9"/>
      <c r="K76" s="10" t="str">
        <f aca="false">IF(COUNT(H76:J76)=0,"",MAX(H76:J76))</f>
        <v/>
      </c>
      <c r="L76" s="8"/>
      <c r="M76" s="8"/>
    </row>
    <row r="77" customFormat="false" ht="15" hidden="false" customHeight="false" outlineLevel="0" collapsed="false">
      <c r="A77" s="8"/>
      <c r="B77" s="8"/>
      <c r="C77" s="8"/>
      <c r="D77" s="8"/>
      <c r="E77" s="8"/>
      <c r="F77" s="8"/>
      <c r="G77" s="8"/>
      <c r="H77" s="9"/>
      <c r="I77" s="9"/>
      <c r="J77" s="9"/>
      <c r="K77" s="10" t="str">
        <f aca="false">IF(COUNT(H77:J77)=0,"",MAX(H77:J77))</f>
        <v/>
      </c>
      <c r="L77" s="8"/>
      <c r="M77" s="8"/>
    </row>
    <row r="78" customFormat="false" ht="15" hidden="false" customHeight="false" outlineLevel="0" collapsed="false">
      <c r="A78" s="8"/>
      <c r="B78" s="8"/>
      <c r="C78" s="8"/>
      <c r="D78" s="8"/>
      <c r="E78" s="8"/>
      <c r="F78" s="8"/>
      <c r="G78" s="8"/>
      <c r="H78" s="9"/>
      <c r="I78" s="9"/>
      <c r="J78" s="9"/>
      <c r="K78" s="10" t="str">
        <f aca="false">IF(COUNT(H78:J78)=0,"",MAX(H78:J78))</f>
        <v/>
      </c>
      <c r="L78" s="8"/>
      <c r="M78" s="8"/>
    </row>
    <row r="79" customFormat="false" ht="15" hidden="false" customHeight="false" outlineLevel="0" collapsed="false">
      <c r="A79" s="8"/>
      <c r="B79" s="8"/>
      <c r="C79" s="8"/>
      <c r="D79" s="8"/>
      <c r="E79" s="8"/>
      <c r="F79" s="8"/>
      <c r="G79" s="8"/>
      <c r="H79" s="9"/>
      <c r="I79" s="9"/>
      <c r="J79" s="9"/>
      <c r="K79" s="10" t="str">
        <f aca="false">IF(COUNT(H79:J79)=0,"",MAX(H79:J79))</f>
        <v/>
      </c>
      <c r="L79" s="8"/>
      <c r="M79" s="8"/>
    </row>
    <row r="80" customFormat="false" ht="15" hidden="false" customHeight="false" outlineLevel="0" collapsed="false">
      <c r="A80" s="8"/>
      <c r="B80" s="8"/>
      <c r="C80" s="8"/>
      <c r="D80" s="8"/>
      <c r="E80" s="8"/>
      <c r="F80" s="8"/>
      <c r="G80" s="8"/>
      <c r="H80" s="9"/>
      <c r="I80" s="9"/>
      <c r="J80" s="9"/>
      <c r="K80" s="10" t="str">
        <f aca="false">IF(COUNT(H80:J80)=0,"",MAX(H80:J80))</f>
        <v/>
      </c>
      <c r="L80" s="8"/>
      <c r="M80" s="8"/>
    </row>
    <row r="81" customFormat="false" ht="15" hidden="false" customHeight="false" outlineLevel="0" collapsed="false">
      <c r="A81" s="8"/>
      <c r="B81" s="8"/>
      <c r="C81" s="8"/>
      <c r="D81" s="8"/>
      <c r="E81" s="8"/>
      <c r="F81" s="8"/>
      <c r="G81" s="8"/>
      <c r="H81" s="9"/>
      <c r="I81" s="9"/>
      <c r="J81" s="9"/>
      <c r="K81" s="10" t="str">
        <f aca="false">IF(COUNT(H81:J81)=0,"",MAX(H81:J81))</f>
        <v/>
      </c>
      <c r="L81" s="8"/>
      <c r="M81" s="8"/>
    </row>
    <row r="82" customFormat="false" ht="15" hidden="false" customHeight="false" outlineLevel="0" collapsed="false">
      <c r="A82" s="8"/>
      <c r="B82" s="8"/>
      <c r="C82" s="8"/>
      <c r="D82" s="8"/>
      <c r="E82" s="8"/>
      <c r="F82" s="8"/>
      <c r="G82" s="8"/>
      <c r="H82" s="9"/>
      <c r="I82" s="9"/>
      <c r="J82" s="9"/>
      <c r="K82" s="10" t="str">
        <f aca="false">IF(COUNT(H82:J82)=0,"",MAX(H82:J82))</f>
        <v/>
      </c>
      <c r="L82" s="8"/>
      <c r="M82" s="8"/>
    </row>
    <row r="83" customFormat="false" ht="15" hidden="false" customHeight="false" outlineLevel="0" collapsed="false">
      <c r="A83" s="8"/>
      <c r="B83" s="8"/>
      <c r="C83" s="8"/>
      <c r="D83" s="8"/>
      <c r="E83" s="8"/>
      <c r="F83" s="8"/>
      <c r="G83" s="8"/>
      <c r="H83" s="9"/>
      <c r="I83" s="9"/>
      <c r="J83" s="9"/>
      <c r="K83" s="10" t="str">
        <f aca="false">IF(COUNT(H83:J83)=0,"",MAX(H83:J83))</f>
        <v/>
      </c>
      <c r="L83" s="8"/>
      <c r="M83" s="8"/>
    </row>
    <row r="84" customFormat="false" ht="15" hidden="false" customHeight="false" outlineLevel="0" collapsed="false">
      <c r="A84" s="8"/>
      <c r="B84" s="8"/>
      <c r="C84" s="8"/>
      <c r="D84" s="8"/>
      <c r="E84" s="8"/>
      <c r="F84" s="8"/>
      <c r="G84" s="8"/>
      <c r="H84" s="9"/>
      <c r="I84" s="9"/>
      <c r="J84" s="9"/>
      <c r="K84" s="10" t="str">
        <f aca="false">IF(COUNT(H84:J84)=0,"",MAX(H84:J84))</f>
        <v/>
      </c>
      <c r="L84" s="8"/>
      <c r="M84" s="8"/>
    </row>
    <row r="85" customFormat="false" ht="15" hidden="false" customHeight="false" outlineLevel="0" collapsed="false">
      <c r="A85" s="8"/>
      <c r="B85" s="8"/>
      <c r="C85" s="8"/>
      <c r="D85" s="8"/>
      <c r="E85" s="8"/>
      <c r="F85" s="8"/>
      <c r="G85" s="8"/>
      <c r="H85" s="9"/>
      <c r="I85" s="9"/>
      <c r="J85" s="9"/>
      <c r="K85" s="10" t="str">
        <f aca="false">IF(COUNT(H85:J85)=0,"",MAX(H85:J85))</f>
        <v/>
      </c>
      <c r="L85" s="8"/>
      <c r="M85" s="8"/>
    </row>
    <row r="86" customFormat="false" ht="15" hidden="false" customHeight="false" outlineLevel="0" collapsed="false">
      <c r="A86" s="8"/>
      <c r="B86" s="8"/>
      <c r="C86" s="8"/>
      <c r="D86" s="8"/>
      <c r="E86" s="8"/>
      <c r="F86" s="8"/>
      <c r="G86" s="8"/>
      <c r="H86" s="9"/>
      <c r="I86" s="9"/>
      <c r="J86" s="9"/>
      <c r="K86" s="10" t="str">
        <f aca="false">IF(COUNT(H86:J86)=0,"",MAX(H86:J86))</f>
        <v/>
      </c>
      <c r="L86" s="8"/>
      <c r="M86" s="8"/>
    </row>
    <row r="87" customFormat="false" ht="15" hidden="false" customHeight="false" outlineLevel="0" collapsed="false">
      <c r="A87" s="8"/>
      <c r="B87" s="8"/>
      <c r="C87" s="8"/>
      <c r="D87" s="8"/>
      <c r="E87" s="8"/>
      <c r="F87" s="8"/>
      <c r="G87" s="8"/>
      <c r="H87" s="9"/>
      <c r="I87" s="9"/>
      <c r="J87" s="9"/>
      <c r="K87" s="10" t="str">
        <f aca="false">IF(COUNT(H87:J87)=0,"",MAX(H87:J87))</f>
        <v/>
      </c>
      <c r="L87" s="8"/>
      <c r="M87" s="8"/>
    </row>
    <row r="88" customFormat="false" ht="15" hidden="false" customHeight="false" outlineLevel="0" collapsed="false">
      <c r="A88" s="8"/>
      <c r="B88" s="8"/>
      <c r="C88" s="8"/>
      <c r="D88" s="8"/>
      <c r="E88" s="8"/>
      <c r="F88" s="8"/>
      <c r="G88" s="8"/>
      <c r="H88" s="9"/>
      <c r="I88" s="9"/>
      <c r="J88" s="9"/>
      <c r="K88" s="10" t="str">
        <f aca="false">IF(COUNT(H88:J88)=0,"",MAX(H88:J88))</f>
        <v/>
      </c>
      <c r="L88" s="8"/>
      <c r="M88" s="8"/>
    </row>
    <row r="89" customFormat="false" ht="15" hidden="false" customHeight="false" outlineLevel="0" collapsed="false">
      <c r="A89" s="8"/>
      <c r="B89" s="8"/>
      <c r="C89" s="8"/>
      <c r="D89" s="8"/>
      <c r="E89" s="8"/>
      <c r="F89" s="8"/>
      <c r="G89" s="8"/>
      <c r="H89" s="9"/>
      <c r="I89" s="9"/>
      <c r="J89" s="9"/>
      <c r="K89" s="10" t="str">
        <f aca="false">IF(COUNT(H89:J89)=0,"",MAX(H89:J89))</f>
        <v/>
      </c>
      <c r="L89" s="8"/>
      <c r="M89" s="8"/>
    </row>
    <row r="90" customFormat="false" ht="15" hidden="false" customHeight="false" outlineLevel="0" collapsed="false">
      <c r="A90" s="8"/>
      <c r="B90" s="8"/>
      <c r="C90" s="8"/>
      <c r="D90" s="8"/>
      <c r="E90" s="8"/>
      <c r="F90" s="8"/>
      <c r="G90" s="8"/>
      <c r="H90" s="9"/>
      <c r="I90" s="9"/>
      <c r="J90" s="9"/>
      <c r="K90" s="10" t="str">
        <f aca="false">IF(COUNT(H90:J90)=0,"",MAX(H90:J90))</f>
        <v/>
      </c>
      <c r="L90" s="8"/>
      <c r="M90" s="8"/>
    </row>
    <row r="91" customFormat="false" ht="15" hidden="false" customHeight="false" outlineLevel="0" collapsed="false">
      <c r="A91" s="8"/>
      <c r="B91" s="8"/>
      <c r="C91" s="8"/>
      <c r="D91" s="8"/>
      <c r="E91" s="8"/>
      <c r="F91" s="8"/>
      <c r="G91" s="8"/>
      <c r="H91" s="9"/>
      <c r="I91" s="9"/>
      <c r="J91" s="9"/>
      <c r="K91" s="10" t="str">
        <f aca="false">IF(COUNT(H91:J91)=0,"",MAX(H91:J91))</f>
        <v/>
      </c>
      <c r="L91" s="8"/>
      <c r="M91" s="8"/>
    </row>
    <row r="92" customFormat="false" ht="15" hidden="false" customHeight="false" outlineLevel="0" collapsed="false">
      <c r="A92" s="8"/>
      <c r="B92" s="8"/>
      <c r="C92" s="8"/>
      <c r="D92" s="8"/>
      <c r="E92" s="8"/>
      <c r="F92" s="8"/>
      <c r="G92" s="8"/>
      <c r="H92" s="9"/>
      <c r="I92" s="9"/>
      <c r="J92" s="9"/>
      <c r="K92" s="10" t="str">
        <f aca="false">IF(COUNT(H92:J92)=0,"",MAX(H92:J92))</f>
        <v/>
      </c>
      <c r="L92" s="8"/>
      <c r="M92" s="8"/>
    </row>
    <row r="93" customFormat="false" ht="15" hidden="false" customHeight="false" outlineLevel="0" collapsed="false">
      <c r="A93" s="8"/>
      <c r="B93" s="8"/>
      <c r="C93" s="8"/>
      <c r="D93" s="8"/>
      <c r="E93" s="8"/>
      <c r="F93" s="8"/>
      <c r="G93" s="8"/>
      <c r="H93" s="9"/>
      <c r="I93" s="9"/>
      <c r="J93" s="9"/>
      <c r="K93" s="10" t="str">
        <f aca="false">IF(COUNT(H93:J93)=0,"",MAX(H93:J93))</f>
        <v/>
      </c>
      <c r="L93" s="8"/>
      <c r="M93" s="8"/>
    </row>
    <row r="94" customFormat="false" ht="15" hidden="false" customHeight="false" outlineLevel="0" collapsed="false">
      <c r="A94" s="8"/>
      <c r="B94" s="8"/>
      <c r="C94" s="8"/>
      <c r="D94" s="8"/>
      <c r="E94" s="8"/>
      <c r="F94" s="8"/>
      <c r="G94" s="8"/>
      <c r="H94" s="9"/>
      <c r="I94" s="9"/>
      <c r="J94" s="9"/>
      <c r="K94" s="10" t="str">
        <f aca="false">IF(COUNT(H94:J94)=0,"",MAX(H94:J94))</f>
        <v/>
      </c>
      <c r="L94" s="8"/>
      <c r="M94" s="8"/>
    </row>
    <row r="95" customFormat="false" ht="15" hidden="false" customHeight="false" outlineLevel="0" collapsed="false">
      <c r="A95" s="8"/>
      <c r="B95" s="8"/>
      <c r="C95" s="8"/>
      <c r="D95" s="8"/>
      <c r="E95" s="8"/>
      <c r="F95" s="8"/>
      <c r="G95" s="8"/>
      <c r="H95" s="9"/>
      <c r="I95" s="9"/>
      <c r="J95" s="9"/>
      <c r="K95" s="10" t="str">
        <f aca="false">IF(COUNT(H95:J95)=0,"",MAX(H95:J95))</f>
        <v/>
      </c>
      <c r="L95" s="8"/>
      <c r="M95" s="8"/>
    </row>
    <row r="96" customFormat="false" ht="15" hidden="false" customHeight="false" outlineLevel="0" collapsed="false">
      <c r="A96" s="8"/>
      <c r="B96" s="8"/>
      <c r="C96" s="8"/>
      <c r="D96" s="8"/>
      <c r="E96" s="8"/>
      <c r="F96" s="8"/>
      <c r="G96" s="8"/>
      <c r="H96" s="9"/>
      <c r="I96" s="9"/>
      <c r="J96" s="9"/>
      <c r="K96" s="10" t="str">
        <f aca="false">IF(COUNT(H96:J96)=0,"",MAX(H96:J96))</f>
        <v/>
      </c>
      <c r="L96" s="8"/>
      <c r="M96" s="8"/>
    </row>
    <row r="97" customFormat="false" ht="15" hidden="false" customHeight="false" outlineLevel="0" collapsed="false">
      <c r="A97" s="8"/>
      <c r="B97" s="8"/>
      <c r="C97" s="8"/>
      <c r="D97" s="8"/>
      <c r="E97" s="8"/>
      <c r="F97" s="8"/>
      <c r="G97" s="8"/>
      <c r="H97" s="9"/>
      <c r="I97" s="9"/>
      <c r="J97" s="9"/>
      <c r="K97" s="10" t="str">
        <f aca="false">IF(COUNT(H97:J97)=0,"",MAX(H97:J97))</f>
        <v/>
      </c>
      <c r="L97" s="8"/>
      <c r="M97" s="8"/>
    </row>
    <row r="98" customFormat="false" ht="15" hidden="false" customHeight="false" outlineLevel="0" collapsed="false">
      <c r="A98" s="8"/>
      <c r="B98" s="8"/>
      <c r="C98" s="8"/>
      <c r="D98" s="8"/>
      <c r="E98" s="8"/>
      <c r="F98" s="8"/>
      <c r="G98" s="8"/>
      <c r="H98" s="9"/>
      <c r="I98" s="9"/>
      <c r="J98" s="9"/>
      <c r="K98" s="10" t="str">
        <f aca="false">IF(COUNT(H98:J98)=0,"",MAX(H98:J98))</f>
        <v/>
      </c>
      <c r="L98" s="8"/>
      <c r="M98" s="8"/>
    </row>
    <row r="99" customFormat="false" ht="15" hidden="false" customHeight="false" outlineLevel="0" collapsed="false">
      <c r="A99" s="8"/>
      <c r="B99" s="8"/>
      <c r="C99" s="8"/>
      <c r="D99" s="8"/>
      <c r="E99" s="8"/>
      <c r="F99" s="8"/>
      <c r="G99" s="8"/>
      <c r="H99" s="9"/>
      <c r="I99" s="9"/>
      <c r="J99" s="9"/>
      <c r="K99" s="10" t="str">
        <f aca="false">IF(COUNT(H99:J99)=0,"",MAX(H99:J99))</f>
        <v/>
      </c>
      <c r="L99" s="8"/>
      <c r="M99" s="8"/>
    </row>
    <row r="100" customFormat="false" ht="15" hidden="false" customHeight="false" outlineLevel="0" collapsed="false">
      <c r="A100" s="8"/>
      <c r="B100" s="8"/>
      <c r="C100" s="8"/>
      <c r="D100" s="8"/>
      <c r="E100" s="8"/>
      <c r="F100" s="8"/>
      <c r="G100" s="8"/>
      <c r="H100" s="9"/>
      <c r="I100" s="9"/>
      <c r="J100" s="9"/>
      <c r="K100" s="10" t="str">
        <f aca="false">IF(COUNT(H100:J100)=0,"",MAX(H100:J100))</f>
        <v/>
      </c>
      <c r="L100" s="8"/>
      <c r="M100" s="8"/>
    </row>
    <row r="101" customFormat="false" ht="15" hidden="false" customHeight="false" outlineLevel="0" collapsed="false">
      <c r="A101" s="8"/>
      <c r="B101" s="8"/>
      <c r="C101" s="8"/>
      <c r="D101" s="8"/>
      <c r="E101" s="8"/>
      <c r="F101" s="8"/>
      <c r="G101" s="8"/>
      <c r="H101" s="9"/>
      <c r="I101" s="9"/>
      <c r="J101" s="9"/>
      <c r="K101" s="10" t="str">
        <f aca="false">IF(COUNT(H101:J101)=0,"",MAX(H101:J101))</f>
        <v/>
      </c>
      <c r="L101" s="8"/>
      <c r="M101" s="8"/>
    </row>
    <row r="102" customFormat="false" ht="15" hidden="false" customHeight="false" outlineLevel="0" collapsed="false">
      <c r="A102" s="8"/>
      <c r="B102" s="8"/>
      <c r="C102" s="8"/>
      <c r="D102" s="8"/>
      <c r="E102" s="8"/>
      <c r="F102" s="8"/>
      <c r="G102" s="8"/>
      <c r="H102" s="9"/>
      <c r="I102" s="9"/>
      <c r="J102" s="9"/>
      <c r="K102" s="10" t="str">
        <f aca="false">IF(COUNT(H102:J102)=0,"",MAX(H102:J102))</f>
        <v/>
      </c>
      <c r="L102" s="8"/>
      <c r="M102" s="8"/>
    </row>
    <row r="103" customFormat="false" ht="15" hidden="false" customHeight="false" outlineLevel="0" collapsed="false">
      <c r="A103" s="8"/>
      <c r="B103" s="8"/>
      <c r="C103" s="8"/>
      <c r="D103" s="8"/>
      <c r="E103" s="8"/>
      <c r="F103" s="8"/>
      <c r="G103" s="8"/>
      <c r="H103" s="9"/>
      <c r="I103" s="9"/>
      <c r="J103" s="9"/>
      <c r="K103" s="10" t="str">
        <f aca="false">IF(COUNT(H103:J103)=0,"",MAX(H103:J103))</f>
        <v/>
      </c>
      <c r="L103" s="8"/>
      <c r="M103" s="8"/>
    </row>
    <row r="104" customFormat="false" ht="15" hidden="false" customHeight="false" outlineLevel="0" collapsed="false">
      <c r="A104" s="8"/>
      <c r="B104" s="8"/>
      <c r="C104" s="8"/>
      <c r="D104" s="8"/>
      <c r="E104" s="8"/>
      <c r="F104" s="8"/>
      <c r="G104" s="8"/>
      <c r="H104" s="9"/>
      <c r="I104" s="9"/>
      <c r="J104" s="9"/>
      <c r="K104" s="10" t="str">
        <f aca="false">IF(COUNT(H104:J104)=0,"",MAX(H104:J104))</f>
        <v/>
      </c>
      <c r="L104" s="8"/>
      <c r="M104" s="8"/>
    </row>
    <row r="105" customFormat="false" ht="15" hidden="false" customHeight="false" outlineLevel="0" collapsed="false">
      <c r="A105" s="8"/>
      <c r="B105" s="8"/>
      <c r="C105" s="8"/>
      <c r="D105" s="8"/>
      <c r="E105" s="8"/>
      <c r="F105" s="8"/>
      <c r="G105" s="8"/>
      <c r="H105" s="9"/>
      <c r="I105" s="9"/>
      <c r="J105" s="9"/>
      <c r="K105" s="10" t="str">
        <f aca="false">IF(COUNT(H105:J105)=0,"",MAX(H105:J105))</f>
        <v/>
      </c>
      <c r="L105" s="8"/>
      <c r="M105" s="8"/>
    </row>
    <row r="106" customFormat="false" ht="15" hidden="false" customHeight="false" outlineLevel="0" collapsed="false">
      <c r="A106" s="8"/>
      <c r="B106" s="8"/>
      <c r="C106" s="8"/>
      <c r="D106" s="8"/>
      <c r="E106" s="8"/>
      <c r="F106" s="8"/>
      <c r="G106" s="8"/>
      <c r="H106" s="9"/>
      <c r="I106" s="9"/>
      <c r="J106" s="9"/>
      <c r="K106" s="10" t="str">
        <f aca="false">IF(COUNT(H106:J106)=0,"",MAX(H106:J106))</f>
        <v/>
      </c>
      <c r="L106" s="8"/>
      <c r="M106" s="8"/>
    </row>
    <row r="107" customFormat="false" ht="15" hidden="false" customHeight="false" outlineLevel="0" collapsed="false">
      <c r="A107" s="8"/>
      <c r="B107" s="8"/>
      <c r="C107" s="8"/>
      <c r="D107" s="8"/>
      <c r="E107" s="8"/>
      <c r="F107" s="8"/>
      <c r="G107" s="8"/>
      <c r="H107" s="9"/>
      <c r="I107" s="9"/>
      <c r="J107" s="9"/>
      <c r="K107" s="10" t="str">
        <f aca="false">IF(COUNT(H107:J107)=0,"",MAX(H107:J107))</f>
        <v/>
      </c>
      <c r="L107" s="8"/>
      <c r="M107" s="8"/>
    </row>
    <row r="108" customFormat="false" ht="15" hidden="false" customHeight="false" outlineLevel="0" collapsed="false">
      <c r="A108" s="8"/>
      <c r="B108" s="8"/>
      <c r="C108" s="8"/>
      <c r="D108" s="8"/>
      <c r="E108" s="8"/>
      <c r="F108" s="8"/>
      <c r="G108" s="8"/>
      <c r="H108" s="9"/>
      <c r="I108" s="9"/>
      <c r="J108" s="9"/>
      <c r="K108" s="10" t="str">
        <f aca="false">IF(COUNT(H108:J108)=0,"",MAX(H108:J108))</f>
        <v/>
      </c>
      <c r="L108" s="8"/>
      <c r="M108" s="8"/>
    </row>
    <row r="109" customFormat="false" ht="15" hidden="false" customHeight="false" outlineLevel="0" collapsed="false">
      <c r="A109" s="8"/>
      <c r="B109" s="8"/>
      <c r="C109" s="8"/>
      <c r="D109" s="8"/>
      <c r="E109" s="8"/>
      <c r="F109" s="8"/>
      <c r="G109" s="8"/>
      <c r="H109" s="9"/>
      <c r="I109" s="9"/>
      <c r="J109" s="9"/>
      <c r="K109" s="10" t="str">
        <f aca="false">IF(COUNT(H109:J109)=0,"",MAX(H109:J109))</f>
        <v/>
      </c>
      <c r="L109" s="8"/>
      <c r="M109" s="8"/>
    </row>
    <row r="110" customFormat="false" ht="15" hidden="false" customHeight="false" outlineLevel="0" collapsed="false">
      <c r="A110" s="8"/>
      <c r="B110" s="8"/>
      <c r="C110" s="8"/>
      <c r="D110" s="8"/>
      <c r="E110" s="8"/>
      <c r="F110" s="8"/>
      <c r="G110" s="8"/>
      <c r="H110" s="9"/>
      <c r="I110" s="9"/>
      <c r="J110" s="9"/>
      <c r="K110" s="10" t="str">
        <f aca="false">IF(COUNT(H110:J110)=0,"",MAX(H110:J110))</f>
        <v/>
      </c>
      <c r="L110" s="8"/>
      <c r="M110" s="8"/>
    </row>
    <row r="111" customFormat="false" ht="15" hidden="false" customHeight="false" outlineLevel="0" collapsed="false">
      <c r="A111" s="8"/>
      <c r="B111" s="8"/>
      <c r="C111" s="8"/>
      <c r="D111" s="8"/>
      <c r="E111" s="8"/>
      <c r="F111" s="8"/>
      <c r="G111" s="8"/>
      <c r="H111" s="9"/>
      <c r="I111" s="9"/>
      <c r="J111" s="9"/>
      <c r="K111" s="10" t="str">
        <f aca="false">IF(COUNT(H111:J111)=0,"",MAX(H111:J111))</f>
        <v/>
      </c>
      <c r="L111" s="8"/>
      <c r="M111" s="8"/>
    </row>
    <row r="112" customFormat="false" ht="15" hidden="false" customHeight="false" outlineLevel="0" collapsed="false">
      <c r="A112" s="8"/>
      <c r="B112" s="8"/>
      <c r="C112" s="8"/>
      <c r="D112" s="8"/>
      <c r="E112" s="8"/>
      <c r="F112" s="8"/>
      <c r="G112" s="8"/>
      <c r="H112" s="9"/>
      <c r="I112" s="9"/>
      <c r="J112" s="9"/>
      <c r="K112" s="10" t="str">
        <f aca="false">IF(COUNT(H112:J112)=0,"",MAX(H112:J112))</f>
        <v/>
      </c>
      <c r="L112" s="8"/>
      <c r="M112" s="8"/>
    </row>
    <row r="113" customFormat="false" ht="15" hidden="false" customHeight="false" outlineLevel="0" collapsed="false">
      <c r="A113" s="8"/>
      <c r="B113" s="8"/>
      <c r="C113" s="8"/>
      <c r="D113" s="8"/>
      <c r="E113" s="8"/>
      <c r="F113" s="8"/>
      <c r="G113" s="8"/>
      <c r="H113" s="9"/>
      <c r="I113" s="9"/>
      <c r="J113" s="9"/>
      <c r="K113" s="10" t="str">
        <f aca="false">IF(COUNT(H113:J113)=0,"",MAX(H113:J113))</f>
        <v/>
      </c>
      <c r="L113" s="8"/>
      <c r="M113" s="8"/>
    </row>
    <row r="114" customFormat="false" ht="15" hidden="false" customHeight="false" outlineLevel="0" collapsed="false">
      <c r="A114" s="8"/>
      <c r="B114" s="8"/>
      <c r="C114" s="8"/>
      <c r="D114" s="8"/>
      <c r="E114" s="8"/>
      <c r="F114" s="8"/>
      <c r="G114" s="8"/>
      <c r="H114" s="9"/>
      <c r="I114" s="9"/>
      <c r="J114" s="9"/>
      <c r="K114" s="10" t="str">
        <f aca="false">IF(COUNT(H114:J114)=0,"",MAX(H114:J114))</f>
        <v/>
      </c>
      <c r="L114" s="8"/>
      <c r="M114" s="8"/>
    </row>
    <row r="115" customFormat="false" ht="15" hidden="false" customHeight="false" outlineLevel="0" collapsed="false">
      <c r="A115" s="8"/>
      <c r="B115" s="8"/>
      <c r="C115" s="8"/>
      <c r="D115" s="8"/>
      <c r="E115" s="8"/>
      <c r="F115" s="8"/>
      <c r="G115" s="8"/>
      <c r="H115" s="9"/>
      <c r="I115" s="9"/>
      <c r="J115" s="9"/>
      <c r="K115" s="10" t="str">
        <f aca="false">IF(COUNT(H115:J115)=0,"",MAX(H115:J115))</f>
        <v/>
      </c>
      <c r="L115" s="8"/>
      <c r="M115" s="8"/>
    </row>
    <row r="116" customFormat="false" ht="15" hidden="false" customHeight="false" outlineLevel="0" collapsed="false">
      <c r="A116" s="8"/>
      <c r="B116" s="8"/>
      <c r="C116" s="8"/>
      <c r="D116" s="8"/>
      <c r="E116" s="8"/>
      <c r="F116" s="8"/>
      <c r="G116" s="8"/>
      <c r="H116" s="9"/>
      <c r="I116" s="9"/>
      <c r="J116" s="9"/>
      <c r="K116" s="10" t="str">
        <f aca="false">IF(COUNT(H116:J116)=0,"",MAX(H116:J116))</f>
        <v/>
      </c>
      <c r="L116" s="8"/>
      <c r="M116" s="8"/>
    </row>
    <row r="117" customFormat="false" ht="15" hidden="false" customHeight="false" outlineLevel="0" collapsed="false">
      <c r="A117" s="8"/>
      <c r="B117" s="8"/>
      <c r="C117" s="8"/>
      <c r="D117" s="8"/>
      <c r="E117" s="8"/>
      <c r="F117" s="8"/>
      <c r="G117" s="8"/>
      <c r="H117" s="9"/>
      <c r="I117" s="9"/>
      <c r="J117" s="9"/>
      <c r="K117" s="10" t="str">
        <f aca="false">IF(COUNT(H117:J117)=0,"",MAX(H117:J117))</f>
        <v/>
      </c>
      <c r="L117" s="8"/>
      <c r="M117" s="8"/>
    </row>
    <row r="118" customFormat="false" ht="15" hidden="false" customHeight="false" outlineLevel="0" collapsed="false">
      <c r="A118" s="8"/>
      <c r="B118" s="8"/>
      <c r="C118" s="8"/>
      <c r="D118" s="8"/>
      <c r="E118" s="8"/>
      <c r="F118" s="8"/>
      <c r="G118" s="8"/>
      <c r="H118" s="9"/>
      <c r="I118" s="9"/>
      <c r="J118" s="9"/>
      <c r="K118" s="10" t="str">
        <f aca="false">IF(COUNT(H118:J118)=0,"",MAX(H118:J118))</f>
        <v/>
      </c>
      <c r="L118" s="8"/>
      <c r="M118" s="8"/>
    </row>
    <row r="119" customFormat="false" ht="15" hidden="false" customHeight="false" outlineLevel="0" collapsed="false">
      <c r="A119" s="8"/>
      <c r="B119" s="8"/>
      <c r="C119" s="8"/>
      <c r="D119" s="8"/>
      <c r="E119" s="8"/>
      <c r="F119" s="8"/>
      <c r="G119" s="8"/>
      <c r="H119" s="9"/>
      <c r="I119" s="9"/>
      <c r="J119" s="9"/>
      <c r="K119" s="10" t="str">
        <f aca="false">IF(COUNT(H119:J119)=0,"",MAX(H119:J119))</f>
        <v/>
      </c>
      <c r="L119" s="8"/>
      <c r="M119" s="8"/>
    </row>
    <row r="120" customFormat="false" ht="15" hidden="false" customHeight="false" outlineLevel="0" collapsed="false">
      <c r="A120" s="8"/>
      <c r="B120" s="8"/>
      <c r="C120" s="8"/>
      <c r="D120" s="8"/>
      <c r="E120" s="8"/>
      <c r="F120" s="8"/>
      <c r="G120" s="8"/>
      <c r="H120" s="9"/>
      <c r="I120" s="9"/>
      <c r="J120" s="9"/>
      <c r="K120" s="10" t="str">
        <f aca="false">IF(COUNT(H120:J120)=0,"",MAX(H120:J120))</f>
        <v/>
      </c>
      <c r="L120" s="8"/>
      <c r="M120" s="8"/>
    </row>
    <row r="121" customFormat="false" ht="15" hidden="false" customHeight="false" outlineLevel="0" collapsed="false">
      <c r="A121" s="8"/>
      <c r="B121" s="8"/>
      <c r="C121" s="8"/>
      <c r="D121" s="8"/>
      <c r="E121" s="8"/>
      <c r="F121" s="8"/>
      <c r="G121" s="8"/>
      <c r="H121" s="9"/>
      <c r="I121" s="9"/>
      <c r="J121" s="9"/>
      <c r="K121" s="10" t="str">
        <f aca="false">IF(COUNT(H121:J121)=0,"",MAX(H121:J121))</f>
        <v/>
      </c>
      <c r="L121" s="8"/>
      <c r="M121" s="8"/>
    </row>
    <row r="122" customFormat="false" ht="15" hidden="false" customHeight="false" outlineLevel="0" collapsed="false">
      <c r="A122" s="8"/>
      <c r="B122" s="8"/>
      <c r="C122" s="8"/>
      <c r="D122" s="8"/>
      <c r="E122" s="8"/>
      <c r="F122" s="8"/>
      <c r="G122" s="8"/>
      <c r="H122" s="9"/>
      <c r="I122" s="9"/>
      <c r="J122" s="9"/>
      <c r="K122" s="10" t="str">
        <f aca="false">IF(COUNT(H122:J122)=0,"",MAX(H122:J122))</f>
        <v/>
      </c>
      <c r="L122" s="8"/>
      <c r="M122" s="8"/>
    </row>
    <row r="123" customFormat="false" ht="15" hidden="false" customHeight="false" outlineLevel="0" collapsed="false">
      <c r="A123" s="8"/>
      <c r="B123" s="8"/>
      <c r="C123" s="8"/>
      <c r="D123" s="8"/>
      <c r="E123" s="8"/>
      <c r="F123" s="8"/>
      <c r="G123" s="8"/>
      <c r="H123" s="9"/>
      <c r="I123" s="9"/>
      <c r="J123" s="9"/>
      <c r="K123" s="10" t="str">
        <f aca="false">IF(COUNT(H123:J123)=0,"",MAX(H123:J123))</f>
        <v/>
      </c>
      <c r="L123" s="8"/>
      <c r="M123" s="8"/>
    </row>
    <row r="124" customFormat="false" ht="15" hidden="false" customHeight="false" outlineLevel="0" collapsed="false">
      <c r="A124" s="8"/>
      <c r="B124" s="8"/>
      <c r="C124" s="8"/>
      <c r="D124" s="8"/>
      <c r="E124" s="8"/>
      <c r="F124" s="8"/>
      <c r="G124" s="8"/>
      <c r="H124" s="9"/>
      <c r="I124" s="9"/>
      <c r="J124" s="9"/>
      <c r="K124" s="10" t="str">
        <f aca="false">IF(COUNT(H124:J124)=0,"",MAX(H124:J124))</f>
        <v/>
      </c>
      <c r="L124" s="8"/>
      <c r="M124" s="8"/>
    </row>
    <row r="125" customFormat="false" ht="15" hidden="false" customHeight="false" outlineLevel="0" collapsed="false">
      <c r="A125" s="8"/>
      <c r="B125" s="8"/>
      <c r="C125" s="8"/>
      <c r="D125" s="8"/>
      <c r="E125" s="8"/>
      <c r="F125" s="8"/>
      <c r="G125" s="8"/>
      <c r="H125" s="9"/>
      <c r="I125" s="9"/>
      <c r="J125" s="9"/>
      <c r="K125" s="10" t="str">
        <f aca="false">IF(COUNT(H125:J125)=0,"",MAX(H125:J125))</f>
        <v/>
      </c>
      <c r="L125" s="8"/>
      <c r="M125" s="8"/>
    </row>
    <row r="126" customFormat="false" ht="15" hidden="false" customHeight="false" outlineLevel="0" collapsed="false">
      <c r="A126" s="8"/>
      <c r="B126" s="8"/>
      <c r="C126" s="8"/>
      <c r="D126" s="8"/>
      <c r="E126" s="8"/>
      <c r="F126" s="8"/>
      <c r="G126" s="8"/>
      <c r="H126" s="9"/>
      <c r="I126" s="9"/>
      <c r="J126" s="9"/>
      <c r="K126" s="10" t="str">
        <f aca="false">IF(COUNT(H126:J126)=0,"",MAX(H126:J126))</f>
        <v/>
      </c>
      <c r="L126" s="8"/>
      <c r="M126" s="8"/>
    </row>
    <row r="127" customFormat="false" ht="15" hidden="false" customHeight="false" outlineLevel="0" collapsed="false">
      <c r="A127" s="8"/>
      <c r="B127" s="8"/>
      <c r="C127" s="8"/>
      <c r="D127" s="8"/>
      <c r="E127" s="8"/>
      <c r="F127" s="8"/>
      <c r="G127" s="8"/>
      <c r="H127" s="9"/>
      <c r="I127" s="9"/>
      <c r="J127" s="9"/>
      <c r="K127" s="10" t="str">
        <f aca="false">IF(COUNT(H127:J127)=0,"",MAX(H127:J127))</f>
        <v/>
      </c>
      <c r="L127" s="8"/>
      <c r="M127" s="8"/>
    </row>
    <row r="128" customFormat="false" ht="15" hidden="false" customHeight="false" outlineLevel="0" collapsed="false">
      <c r="A128" s="8"/>
      <c r="B128" s="8"/>
      <c r="C128" s="8"/>
      <c r="D128" s="8"/>
      <c r="E128" s="8"/>
      <c r="F128" s="8"/>
      <c r="G128" s="8"/>
      <c r="H128" s="9"/>
      <c r="I128" s="9"/>
      <c r="J128" s="9"/>
      <c r="K128" s="10" t="str">
        <f aca="false">IF(COUNT(H128:J128)=0,"",MAX(H128:J128))</f>
        <v/>
      </c>
      <c r="L128" s="8"/>
      <c r="M128" s="8"/>
    </row>
    <row r="129" customFormat="false" ht="15" hidden="false" customHeight="false" outlineLevel="0" collapsed="false">
      <c r="A129" s="8"/>
      <c r="B129" s="8"/>
      <c r="C129" s="8"/>
      <c r="D129" s="8"/>
      <c r="E129" s="8"/>
      <c r="F129" s="8"/>
      <c r="G129" s="8"/>
      <c r="H129" s="9"/>
      <c r="I129" s="9"/>
      <c r="J129" s="9"/>
      <c r="K129" s="10" t="str">
        <f aca="false">IF(COUNT(H129:J129)=0,"",MAX(H129:J129))</f>
        <v/>
      </c>
      <c r="L129" s="8"/>
      <c r="M129" s="8"/>
    </row>
    <row r="130" customFormat="false" ht="15" hidden="false" customHeight="false" outlineLevel="0" collapsed="false">
      <c r="A130" s="8"/>
      <c r="B130" s="8"/>
      <c r="C130" s="8"/>
      <c r="D130" s="8"/>
      <c r="E130" s="8"/>
      <c r="F130" s="8"/>
      <c r="G130" s="8"/>
      <c r="H130" s="9"/>
      <c r="I130" s="9"/>
      <c r="J130" s="9"/>
      <c r="K130" s="10" t="str">
        <f aca="false">IF(COUNT(H130:J130)=0,"",MAX(H130:J130))</f>
        <v/>
      </c>
      <c r="L130" s="8"/>
      <c r="M130" s="8"/>
    </row>
    <row r="131" customFormat="false" ht="15" hidden="false" customHeight="false" outlineLevel="0" collapsed="false">
      <c r="A131" s="8"/>
      <c r="B131" s="8"/>
      <c r="C131" s="8"/>
      <c r="D131" s="8"/>
      <c r="E131" s="8"/>
      <c r="F131" s="8"/>
      <c r="G131" s="8"/>
      <c r="H131" s="9"/>
      <c r="I131" s="9"/>
      <c r="J131" s="9"/>
      <c r="K131" s="10" t="str">
        <f aca="false">IF(COUNT(H131:J131)=0,"",MAX(H131:J131))</f>
        <v/>
      </c>
      <c r="L131" s="8"/>
      <c r="M131" s="8"/>
    </row>
    <row r="132" customFormat="false" ht="15" hidden="false" customHeight="false" outlineLevel="0" collapsed="false">
      <c r="A132" s="8"/>
      <c r="B132" s="8"/>
      <c r="C132" s="8"/>
      <c r="D132" s="8"/>
      <c r="E132" s="8"/>
      <c r="F132" s="8"/>
      <c r="G132" s="8"/>
      <c r="H132" s="9"/>
      <c r="I132" s="9"/>
      <c r="J132" s="9"/>
      <c r="K132" s="10" t="str">
        <f aca="false">IF(COUNT(H132:J132)=0,"",MAX(H132:J132))</f>
        <v/>
      </c>
      <c r="L132" s="8"/>
      <c r="M132" s="8"/>
    </row>
    <row r="133" customFormat="false" ht="15" hidden="false" customHeight="false" outlineLevel="0" collapsed="false">
      <c r="A133" s="8"/>
      <c r="B133" s="8"/>
      <c r="C133" s="8"/>
      <c r="D133" s="8"/>
      <c r="E133" s="8"/>
      <c r="F133" s="8"/>
      <c r="G133" s="8"/>
      <c r="H133" s="9"/>
      <c r="I133" s="9"/>
      <c r="J133" s="9"/>
      <c r="K133" s="10" t="str">
        <f aca="false">IF(COUNT(H133:J133)=0,"",MAX(H133:J133))</f>
        <v/>
      </c>
      <c r="L133" s="8"/>
      <c r="M133" s="8"/>
    </row>
    <row r="134" customFormat="false" ht="15" hidden="false" customHeight="false" outlineLevel="0" collapsed="false">
      <c r="A134" s="8"/>
      <c r="B134" s="8"/>
      <c r="C134" s="8"/>
      <c r="D134" s="8"/>
      <c r="E134" s="8"/>
      <c r="F134" s="8"/>
      <c r="G134" s="8"/>
      <c r="H134" s="9"/>
      <c r="I134" s="9"/>
      <c r="J134" s="9"/>
      <c r="K134" s="10" t="str">
        <f aca="false">IF(COUNT(H134:J134)=0,"",MAX(H134:J134))</f>
        <v/>
      </c>
      <c r="L134" s="8"/>
      <c r="M134" s="8"/>
    </row>
    <row r="135" customFormat="false" ht="15" hidden="false" customHeight="false" outlineLevel="0" collapsed="false">
      <c r="A135" s="8"/>
      <c r="B135" s="8"/>
      <c r="C135" s="8"/>
      <c r="D135" s="8"/>
      <c r="E135" s="8"/>
      <c r="F135" s="8"/>
      <c r="G135" s="8"/>
      <c r="H135" s="9"/>
      <c r="I135" s="9"/>
      <c r="J135" s="9"/>
      <c r="K135" s="10" t="str">
        <f aca="false">IF(COUNT(H135:J135)=0,"",MAX(H135:J135))</f>
        <v/>
      </c>
      <c r="L135" s="8"/>
      <c r="M135" s="8"/>
    </row>
    <row r="136" customFormat="false" ht="15" hidden="false" customHeight="false" outlineLevel="0" collapsed="false">
      <c r="A136" s="8"/>
      <c r="B136" s="8"/>
      <c r="C136" s="8"/>
      <c r="D136" s="8"/>
      <c r="E136" s="8"/>
      <c r="F136" s="8"/>
      <c r="G136" s="8"/>
      <c r="H136" s="9"/>
      <c r="I136" s="9"/>
      <c r="J136" s="9"/>
      <c r="K136" s="10" t="str">
        <f aca="false">IF(COUNT(H136:J136)=0,"",MAX(H136:J136))</f>
        <v/>
      </c>
      <c r="L136" s="8"/>
      <c r="M136" s="8"/>
    </row>
    <row r="137" customFormat="false" ht="15" hidden="false" customHeight="false" outlineLevel="0" collapsed="false">
      <c r="A137" s="8"/>
      <c r="B137" s="8"/>
      <c r="C137" s="8"/>
      <c r="D137" s="8"/>
      <c r="E137" s="8"/>
      <c r="F137" s="8"/>
      <c r="G137" s="8"/>
      <c r="H137" s="9"/>
      <c r="I137" s="9"/>
      <c r="J137" s="9"/>
      <c r="K137" s="10" t="str">
        <f aca="false">IF(COUNT(H137:J137)=0,"",MAX(H137:J137))</f>
        <v/>
      </c>
      <c r="L137" s="8"/>
      <c r="M137" s="8"/>
    </row>
    <row r="138" customFormat="false" ht="15" hidden="false" customHeight="false" outlineLevel="0" collapsed="false">
      <c r="A138" s="8"/>
      <c r="B138" s="8"/>
      <c r="C138" s="8"/>
      <c r="D138" s="8"/>
      <c r="E138" s="8"/>
      <c r="F138" s="8"/>
      <c r="G138" s="8"/>
      <c r="H138" s="9"/>
      <c r="I138" s="9"/>
      <c r="J138" s="9"/>
      <c r="K138" s="10" t="str">
        <f aca="false">IF(COUNT(H138:J138)=0,"",MAX(H138:J138))</f>
        <v/>
      </c>
      <c r="L138" s="8"/>
      <c r="M138" s="8"/>
    </row>
    <row r="139" customFormat="false" ht="15" hidden="false" customHeight="false" outlineLevel="0" collapsed="false">
      <c r="A139" s="8"/>
      <c r="B139" s="8"/>
      <c r="C139" s="8"/>
      <c r="D139" s="8"/>
      <c r="E139" s="8"/>
      <c r="F139" s="8"/>
      <c r="G139" s="8"/>
      <c r="H139" s="9"/>
      <c r="I139" s="9"/>
      <c r="J139" s="9"/>
      <c r="K139" s="10" t="str">
        <f aca="false">IF(COUNT(H139:J139)=0,"",MAX(H139:J139))</f>
        <v/>
      </c>
      <c r="L139" s="8"/>
      <c r="M139" s="8"/>
    </row>
    <row r="140" customFormat="false" ht="15" hidden="false" customHeight="false" outlineLevel="0" collapsed="false">
      <c r="A140" s="8"/>
      <c r="B140" s="8"/>
      <c r="C140" s="8"/>
      <c r="D140" s="8"/>
      <c r="E140" s="8"/>
      <c r="F140" s="8"/>
      <c r="G140" s="8"/>
      <c r="H140" s="9"/>
      <c r="I140" s="9"/>
      <c r="J140" s="9"/>
      <c r="K140" s="10" t="str">
        <f aca="false">IF(COUNT(H140:J140)=0,"",MAX(H140:J140))</f>
        <v/>
      </c>
      <c r="L140" s="8"/>
      <c r="M140" s="8"/>
    </row>
    <row r="141" customFormat="false" ht="15" hidden="false" customHeight="false" outlineLevel="0" collapsed="false">
      <c r="A141" s="8"/>
      <c r="B141" s="8"/>
      <c r="C141" s="8"/>
      <c r="D141" s="8"/>
      <c r="E141" s="8"/>
      <c r="F141" s="8"/>
      <c r="G141" s="8"/>
      <c r="H141" s="9"/>
      <c r="I141" s="9"/>
      <c r="J141" s="9"/>
      <c r="K141" s="10" t="str">
        <f aca="false">IF(COUNT(H141:J141)=0,"",MAX(H141:J141))</f>
        <v/>
      </c>
      <c r="L141" s="8"/>
      <c r="M141" s="8"/>
    </row>
    <row r="142" customFormat="false" ht="15" hidden="false" customHeight="false" outlineLevel="0" collapsed="false">
      <c r="A142" s="8"/>
      <c r="B142" s="8"/>
      <c r="C142" s="8"/>
      <c r="D142" s="8"/>
      <c r="E142" s="8"/>
      <c r="F142" s="8"/>
      <c r="G142" s="8"/>
      <c r="H142" s="9"/>
      <c r="I142" s="9"/>
      <c r="J142" s="9"/>
      <c r="K142" s="10" t="str">
        <f aca="false">IF(COUNT(H142:J142)=0,"",MAX(H142:J142))</f>
        <v/>
      </c>
      <c r="L142" s="8"/>
      <c r="M142" s="8"/>
    </row>
    <row r="143" customFormat="false" ht="15" hidden="false" customHeight="false" outlineLevel="0" collapsed="false">
      <c r="A143" s="8"/>
      <c r="B143" s="8"/>
      <c r="C143" s="8"/>
      <c r="D143" s="8"/>
      <c r="E143" s="8"/>
      <c r="F143" s="8"/>
      <c r="G143" s="8"/>
      <c r="H143" s="9"/>
      <c r="I143" s="9"/>
      <c r="J143" s="9"/>
      <c r="K143" s="10" t="str">
        <f aca="false">IF(COUNT(H143:J143)=0,"",MAX(H143:J143))</f>
        <v/>
      </c>
      <c r="L143" s="8"/>
      <c r="M143" s="8"/>
    </row>
    <row r="144" customFormat="false" ht="15" hidden="false" customHeight="false" outlineLevel="0" collapsed="false">
      <c r="A144" s="8"/>
      <c r="B144" s="8"/>
      <c r="C144" s="8"/>
      <c r="D144" s="8"/>
      <c r="E144" s="8"/>
      <c r="F144" s="8"/>
      <c r="G144" s="8"/>
      <c r="H144" s="9"/>
      <c r="I144" s="9"/>
      <c r="J144" s="9"/>
      <c r="K144" s="10" t="str">
        <f aca="false">IF(COUNT(H144:J144)=0,"",MAX(H144:J144))</f>
        <v/>
      </c>
      <c r="L144" s="8"/>
      <c r="M144" s="8"/>
    </row>
    <row r="145" customFormat="false" ht="15" hidden="false" customHeight="false" outlineLevel="0" collapsed="false">
      <c r="A145" s="8"/>
      <c r="B145" s="8"/>
      <c r="C145" s="8"/>
      <c r="D145" s="8"/>
      <c r="E145" s="8"/>
      <c r="F145" s="8"/>
      <c r="G145" s="8"/>
      <c r="H145" s="9"/>
      <c r="I145" s="9"/>
      <c r="J145" s="9"/>
      <c r="K145" s="10" t="str">
        <f aca="false">IF(COUNT(H145:J145)=0,"",MAX(H145:J145))</f>
        <v/>
      </c>
      <c r="L145" s="8"/>
      <c r="M145" s="8"/>
    </row>
    <row r="146" customFormat="false" ht="15" hidden="false" customHeight="false" outlineLevel="0" collapsed="false">
      <c r="A146" s="8"/>
      <c r="B146" s="8"/>
      <c r="C146" s="8"/>
      <c r="D146" s="8"/>
      <c r="E146" s="8"/>
      <c r="F146" s="8"/>
      <c r="G146" s="8"/>
      <c r="H146" s="9"/>
      <c r="I146" s="9"/>
      <c r="J146" s="9"/>
      <c r="K146" s="10" t="str">
        <f aca="false">IF(COUNT(H146:J146)=0,"",MAX(H146:J146))</f>
        <v/>
      </c>
      <c r="L146" s="8"/>
      <c r="M146" s="8"/>
    </row>
    <row r="147" customFormat="false" ht="15" hidden="false" customHeight="false" outlineLevel="0" collapsed="false">
      <c r="A147" s="8"/>
      <c r="B147" s="8"/>
      <c r="C147" s="8"/>
      <c r="D147" s="8"/>
      <c r="E147" s="8"/>
      <c r="F147" s="8"/>
      <c r="G147" s="8"/>
      <c r="H147" s="9"/>
      <c r="I147" s="9"/>
      <c r="J147" s="9"/>
      <c r="K147" s="10" t="str">
        <f aca="false">IF(COUNT(H147:J147)=0,"",MAX(H147:J147))</f>
        <v/>
      </c>
      <c r="L147" s="8"/>
      <c r="M147" s="8"/>
    </row>
    <row r="148" customFormat="false" ht="15" hidden="false" customHeight="false" outlineLevel="0" collapsed="false">
      <c r="A148" s="8"/>
      <c r="B148" s="8"/>
      <c r="C148" s="8"/>
      <c r="D148" s="8"/>
      <c r="E148" s="8"/>
      <c r="F148" s="8"/>
      <c r="G148" s="8"/>
      <c r="H148" s="9"/>
      <c r="I148" s="9"/>
      <c r="J148" s="9"/>
      <c r="K148" s="10" t="str">
        <f aca="false">IF(COUNT(H148:J148)=0,"",MAX(H148:J148))</f>
        <v/>
      </c>
      <c r="L148" s="8"/>
      <c r="M148" s="8"/>
    </row>
    <row r="149" customFormat="false" ht="15" hidden="false" customHeight="false" outlineLevel="0" collapsed="false">
      <c r="A149" s="8"/>
      <c r="B149" s="8"/>
      <c r="C149" s="8"/>
      <c r="D149" s="8"/>
      <c r="E149" s="8"/>
      <c r="F149" s="8"/>
      <c r="G149" s="8"/>
      <c r="H149" s="9"/>
      <c r="I149" s="9"/>
      <c r="J149" s="9"/>
      <c r="K149" s="10" t="str">
        <f aca="false">IF(COUNT(H149:J149)=0,"",MAX(H149:J149))</f>
        <v/>
      </c>
      <c r="L149" s="8"/>
      <c r="M149" s="8"/>
    </row>
    <row r="150" customFormat="false" ht="15" hidden="false" customHeight="false" outlineLevel="0" collapsed="false">
      <c r="A150" s="8"/>
      <c r="B150" s="8"/>
      <c r="C150" s="8"/>
      <c r="D150" s="8"/>
      <c r="E150" s="8"/>
      <c r="F150" s="8"/>
      <c r="G150" s="8"/>
      <c r="H150" s="9"/>
      <c r="I150" s="9"/>
      <c r="J150" s="9"/>
      <c r="K150" s="10" t="str">
        <f aca="false">IF(COUNT(H150:J150)=0,"",MAX(H150:J150))</f>
        <v/>
      </c>
      <c r="L150" s="8"/>
      <c r="M150" s="8"/>
    </row>
    <row r="151" customFormat="false" ht="15" hidden="false" customHeight="false" outlineLevel="0" collapsed="false">
      <c r="A151" s="8"/>
      <c r="B151" s="8"/>
      <c r="C151" s="8"/>
      <c r="D151" s="8"/>
      <c r="E151" s="8"/>
      <c r="F151" s="8"/>
      <c r="G151" s="8"/>
      <c r="H151" s="9"/>
      <c r="I151" s="9"/>
      <c r="J151" s="9"/>
      <c r="K151" s="10" t="str">
        <f aca="false">IF(COUNT(H151:J151)=0,"",MAX(H151:J151))</f>
        <v/>
      </c>
      <c r="L151" s="8"/>
      <c r="M151" s="8"/>
    </row>
    <row r="152" customFormat="false" ht="15" hidden="false" customHeight="false" outlineLevel="0" collapsed="false">
      <c r="A152" s="8"/>
      <c r="B152" s="8"/>
      <c r="C152" s="8"/>
      <c r="D152" s="8"/>
      <c r="E152" s="8"/>
      <c r="F152" s="8"/>
      <c r="G152" s="8"/>
      <c r="H152" s="9"/>
      <c r="I152" s="9"/>
      <c r="J152" s="9"/>
      <c r="K152" s="10" t="str">
        <f aca="false">IF(COUNT(H152:J152)=0,"",MAX(H152:J152))</f>
        <v/>
      </c>
      <c r="L152" s="8"/>
      <c r="M152" s="8"/>
    </row>
    <row r="153" customFormat="false" ht="15" hidden="false" customHeight="false" outlineLevel="0" collapsed="false">
      <c r="A153" s="8"/>
      <c r="B153" s="8"/>
      <c r="C153" s="8"/>
      <c r="D153" s="8"/>
      <c r="E153" s="8"/>
      <c r="F153" s="8"/>
      <c r="G153" s="8"/>
      <c r="H153" s="9"/>
      <c r="I153" s="9"/>
      <c r="J153" s="9"/>
      <c r="K153" s="10" t="str">
        <f aca="false">IF(COUNT(H153:J153)=0,"",MAX(H153:J153))</f>
        <v/>
      </c>
      <c r="L153" s="8"/>
      <c r="M153" s="8"/>
    </row>
    <row r="154" customFormat="false" ht="15" hidden="false" customHeight="false" outlineLevel="0" collapsed="false">
      <c r="A154" s="8"/>
      <c r="B154" s="8"/>
      <c r="C154" s="8"/>
      <c r="D154" s="8"/>
      <c r="E154" s="8"/>
      <c r="F154" s="8"/>
      <c r="G154" s="8"/>
      <c r="H154" s="9"/>
      <c r="I154" s="9"/>
      <c r="J154" s="9"/>
      <c r="K154" s="10" t="str">
        <f aca="false">IF(COUNT(H154:J154)=0,"",MAX(H154:J154))</f>
        <v/>
      </c>
      <c r="L154" s="8"/>
      <c r="M154" s="8"/>
    </row>
    <row r="155" customFormat="false" ht="15" hidden="false" customHeight="false" outlineLevel="0" collapsed="false">
      <c r="A155" s="8"/>
      <c r="B155" s="8"/>
      <c r="C155" s="8"/>
      <c r="D155" s="8"/>
      <c r="E155" s="8"/>
      <c r="F155" s="8"/>
      <c r="G155" s="8"/>
      <c r="H155" s="9"/>
      <c r="I155" s="9"/>
      <c r="J155" s="9"/>
      <c r="K155" s="10" t="str">
        <f aca="false">IF(COUNT(H155:J155)=0,"",MAX(H155:J155))</f>
        <v/>
      </c>
      <c r="L155" s="8"/>
      <c r="M155" s="8"/>
    </row>
    <row r="156" customFormat="false" ht="15" hidden="false" customHeight="false" outlineLevel="0" collapsed="false">
      <c r="A156" s="8"/>
      <c r="B156" s="8"/>
      <c r="C156" s="8"/>
      <c r="D156" s="8"/>
      <c r="E156" s="8"/>
      <c r="F156" s="8"/>
      <c r="G156" s="8"/>
      <c r="H156" s="9"/>
      <c r="I156" s="9"/>
      <c r="J156" s="9"/>
      <c r="K156" s="10" t="str">
        <f aca="false">IF(COUNT(H156:J156)=0,"",MAX(H156:J156))</f>
        <v/>
      </c>
      <c r="L156" s="8"/>
      <c r="M156" s="8"/>
    </row>
    <row r="157" customFormat="false" ht="15" hidden="false" customHeight="false" outlineLevel="0" collapsed="false">
      <c r="A157" s="8"/>
      <c r="B157" s="8"/>
      <c r="C157" s="8"/>
      <c r="D157" s="8"/>
      <c r="E157" s="8"/>
      <c r="F157" s="8"/>
      <c r="G157" s="8"/>
      <c r="H157" s="9"/>
      <c r="I157" s="9"/>
      <c r="J157" s="9"/>
      <c r="K157" s="10" t="str">
        <f aca="false">IF(COUNT(H157:J157)=0,"",MAX(H157:J157))</f>
        <v/>
      </c>
      <c r="L157" s="8"/>
      <c r="M157" s="8"/>
    </row>
    <row r="158" customFormat="false" ht="15" hidden="false" customHeight="false" outlineLevel="0" collapsed="false">
      <c r="A158" s="8"/>
      <c r="B158" s="8"/>
      <c r="C158" s="8"/>
      <c r="D158" s="8"/>
      <c r="E158" s="8"/>
      <c r="F158" s="8"/>
      <c r="G158" s="8"/>
      <c r="H158" s="9"/>
      <c r="I158" s="9"/>
      <c r="J158" s="9"/>
      <c r="K158" s="10" t="str">
        <f aca="false">IF(COUNT(H158:J158)=0,"",MAX(H158:J158))</f>
        <v/>
      </c>
      <c r="L158" s="8"/>
      <c r="M158" s="8"/>
    </row>
    <row r="159" customFormat="false" ht="15" hidden="false" customHeight="false" outlineLevel="0" collapsed="false">
      <c r="A159" s="8"/>
      <c r="B159" s="8"/>
      <c r="C159" s="8"/>
      <c r="D159" s="8"/>
      <c r="E159" s="8"/>
      <c r="F159" s="8"/>
      <c r="G159" s="8"/>
      <c r="H159" s="9"/>
      <c r="I159" s="9"/>
      <c r="J159" s="9"/>
      <c r="K159" s="10" t="str">
        <f aca="false">IF(COUNT(H159:J159)=0,"",MAX(H159:J159))</f>
        <v/>
      </c>
      <c r="L159" s="8"/>
      <c r="M159" s="8"/>
    </row>
    <row r="160" customFormat="false" ht="15" hidden="false" customHeight="false" outlineLevel="0" collapsed="false">
      <c r="A160" s="8"/>
      <c r="B160" s="8"/>
      <c r="C160" s="8"/>
      <c r="D160" s="8"/>
      <c r="E160" s="8"/>
      <c r="F160" s="8"/>
      <c r="G160" s="8"/>
      <c r="H160" s="9"/>
      <c r="I160" s="9"/>
      <c r="J160" s="9"/>
      <c r="K160" s="10" t="str">
        <f aca="false">IF(COUNT(H160:J160)=0,"",MAX(H160:J160))</f>
        <v/>
      </c>
      <c r="L160" s="8"/>
      <c r="M160" s="8"/>
    </row>
    <row r="161" customFormat="false" ht="15" hidden="false" customHeight="false" outlineLevel="0" collapsed="false">
      <c r="A161" s="8"/>
      <c r="B161" s="8"/>
      <c r="C161" s="8"/>
      <c r="D161" s="8"/>
      <c r="E161" s="8"/>
      <c r="F161" s="8"/>
      <c r="G161" s="8"/>
      <c r="H161" s="9"/>
      <c r="I161" s="9"/>
      <c r="J161" s="9"/>
      <c r="K161" s="10" t="str">
        <f aca="false">IF(COUNT(H161:J161)=0,"",MAX(H161:J161))</f>
        <v/>
      </c>
      <c r="L161" s="8"/>
      <c r="M161" s="8"/>
    </row>
    <row r="162" customFormat="false" ht="15" hidden="false" customHeight="false" outlineLevel="0" collapsed="false">
      <c r="A162" s="8"/>
      <c r="B162" s="8"/>
      <c r="C162" s="8"/>
      <c r="D162" s="8"/>
      <c r="E162" s="8"/>
      <c r="F162" s="8"/>
      <c r="G162" s="8"/>
      <c r="H162" s="9"/>
      <c r="I162" s="9"/>
      <c r="J162" s="9"/>
      <c r="K162" s="10" t="str">
        <f aca="false">IF(COUNT(H162:J162)=0,"",MAX(H162:J162))</f>
        <v/>
      </c>
      <c r="L162" s="8"/>
      <c r="M162" s="8"/>
    </row>
    <row r="163" customFormat="false" ht="15" hidden="false" customHeight="false" outlineLevel="0" collapsed="false">
      <c r="A163" s="8"/>
      <c r="B163" s="8"/>
      <c r="C163" s="8"/>
      <c r="D163" s="8"/>
      <c r="E163" s="8"/>
      <c r="F163" s="8"/>
      <c r="G163" s="8"/>
      <c r="H163" s="9"/>
      <c r="I163" s="9"/>
      <c r="J163" s="9"/>
      <c r="K163" s="10" t="str">
        <f aca="false">IF(COUNT(H163:J163)=0,"",MAX(H163:J163))</f>
        <v/>
      </c>
      <c r="L163" s="8"/>
      <c r="M163" s="8"/>
    </row>
    <row r="164" customFormat="false" ht="15" hidden="false" customHeight="false" outlineLevel="0" collapsed="false">
      <c r="A164" s="8"/>
      <c r="B164" s="8"/>
      <c r="C164" s="8"/>
      <c r="D164" s="8"/>
      <c r="E164" s="8"/>
      <c r="F164" s="8"/>
      <c r="G164" s="8"/>
      <c r="H164" s="9"/>
      <c r="I164" s="9"/>
      <c r="J164" s="9"/>
      <c r="K164" s="10" t="str">
        <f aca="false">IF(COUNT(H164:J164)=0,"",MAX(H164:J164))</f>
        <v/>
      </c>
      <c r="L164" s="8"/>
      <c r="M164" s="8"/>
    </row>
    <row r="165" customFormat="false" ht="15" hidden="false" customHeight="false" outlineLevel="0" collapsed="false">
      <c r="A165" s="8"/>
      <c r="B165" s="8"/>
      <c r="C165" s="8"/>
      <c r="D165" s="8"/>
      <c r="E165" s="8"/>
      <c r="F165" s="8"/>
      <c r="G165" s="8"/>
      <c r="H165" s="9"/>
      <c r="I165" s="9"/>
      <c r="J165" s="9"/>
      <c r="K165" s="10" t="str">
        <f aca="false">IF(COUNT(H165:J165)=0,"",MAX(H165:J165))</f>
        <v/>
      </c>
      <c r="L165" s="8"/>
      <c r="M165" s="8"/>
    </row>
    <row r="166" customFormat="false" ht="15" hidden="false" customHeight="false" outlineLevel="0" collapsed="false">
      <c r="A166" s="8"/>
      <c r="B166" s="8"/>
      <c r="C166" s="8"/>
      <c r="D166" s="8"/>
      <c r="E166" s="8"/>
      <c r="F166" s="8"/>
      <c r="G166" s="8"/>
      <c r="H166" s="9"/>
      <c r="I166" s="9"/>
      <c r="J166" s="9"/>
      <c r="K166" s="10" t="str">
        <f aca="false">IF(COUNT(H166:J166)=0,"",MAX(H166:J166))</f>
        <v/>
      </c>
      <c r="L166" s="8"/>
      <c r="M166" s="8"/>
    </row>
    <row r="167" customFormat="false" ht="15" hidden="false" customHeight="false" outlineLevel="0" collapsed="false">
      <c r="A167" s="8"/>
      <c r="B167" s="8"/>
      <c r="C167" s="8"/>
      <c r="D167" s="8"/>
      <c r="E167" s="8"/>
      <c r="F167" s="8"/>
      <c r="G167" s="8"/>
      <c r="H167" s="9"/>
      <c r="I167" s="9"/>
      <c r="J167" s="9"/>
      <c r="K167" s="10" t="str">
        <f aca="false">IF(COUNT(H167:J167)=0,"",MAX(H167:J167))</f>
        <v/>
      </c>
      <c r="L167" s="8"/>
      <c r="M167" s="8"/>
    </row>
    <row r="168" customFormat="false" ht="15" hidden="false" customHeight="false" outlineLevel="0" collapsed="false">
      <c r="A168" s="8"/>
      <c r="B168" s="8"/>
      <c r="C168" s="8"/>
      <c r="D168" s="8"/>
      <c r="E168" s="8"/>
      <c r="F168" s="8"/>
      <c r="G168" s="8"/>
      <c r="H168" s="9"/>
      <c r="I168" s="9"/>
      <c r="J168" s="9"/>
      <c r="K168" s="10" t="str">
        <f aca="false">IF(COUNT(H168:J168)=0,"",MAX(H168:J168))</f>
        <v/>
      </c>
      <c r="L168" s="8"/>
      <c r="M168" s="8"/>
    </row>
    <row r="169" customFormat="false" ht="15" hidden="false" customHeight="false" outlineLevel="0" collapsed="false">
      <c r="A169" s="8"/>
      <c r="B169" s="8"/>
      <c r="C169" s="8"/>
      <c r="D169" s="8"/>
      <c r="E169" s="8"/>
      <c r="F169" s="8"/>
      <c r="G169" s="8"/>
      <c r="H169" s="9"/>
      <c r="I169" s="9"/>
      <c r="J169" s="9"/>
      <c r="K169" s="10" t="str">
        <f aca="false">IF(COUNT(H169:J169)=0,"",MAX(H169:J169))</f>
        <v/>
      </c>
      <c r="L169" s="8"/>
      <c r="M169" s="8"/>
    </row>
    <row r="170" customFormat="false" ht="15" hidden="false" customHeight="false" outlineLevel="0" collapsed="false">
      <c r="A170" s="8"/>
      <c r="B170" s="8"/>
      <c r="C170" s="8"/>
      <c r="D170" s="8"/>
      <c r="E170" s="8"/>
      <c r="F170" s="8"/>
      <c r="G170" s="8"/>
      <c r="H170" s="9"/>
      <c r="I170" s="9"/>
      <c r="J170" s="9"/>
      <c r="K170" s="10" t="str">
        <f aca="false">IF(COUNT(H170:J170)=0,"",MAX(H170:J170))</f>
        <v/>
      </c>
      <c r="L170" s="8"/>
      <c r="M170" s="8"/>
    </row>
    <row r="171" customFormat="false" ht="15" hidden="false" customHeight="false" outlineLevel="0" collapsed="false">
      <c r="A171" s="8"/>
      <c r="B171" s="8"/>
      <c r="C171" s="8"/>
      <c r="D171" s="8"/>
      <c r="E171" s="8"/>
      <c r="F171" s="8"/>
      <c r="G171" s="8"/>
      <c r="H171" s="9"/>
      <c r="I171" s="9"/>
      <c r="J171" s="9"/>
      <c r="K171" s="10" t="str">
        <f aca="false">IF(COUNT(H171:J171)=0,"",MAX(H171:J171))</f>
        <v/>
      </c>
      <c r="L171" s="8"/>
      <c r="M171" s="8"/>
    </row>
    <row r="172" customFormat="false" ht="15" hidden="false" customHeight="false" outlineLevel="0" collapsed="false">
      <c r="A172" s="8"/>
      <c r="B172" s="8"/>
      <c r="C172" s="8"/>
      <c r="D172" s="8"/>
      <c r="E172" s="8"/>
      <c r="F172" s="8"/>
      <c r="G172" s="8"/>
      <c r="H172" s="9"/>
      <c r="I172" s="9"/>
      <c r="J172" s="9"/>
      <c r="K172" s="10" t="str">
        <f aca="false">IF(COUNT(H172:J172)=0,"",MAX(H172:J172))</f>
        <v/>
      </c>
      <c r="L172" s="8"/>
      <c r="M172" s="8"/>
    </row>
    <row r="173" customFormat="false" ht="15" hidden="false" customHeight="false" outlineLevel="0" collapsed="false">
      <c r="A173" s="8"/>
      <c r="B173" s="8"/>
      <c r="C173" s="8"/>
      <c r="D173" s="8"/>
      <c r="E173" s="8"/>
      <c r="F173" s="8"/>
      <c r="G173" s="8"/>
      <c r="H173" s="9"/>
      <c r="I173" s="9"/>
      <c r="J173" s="9"/>
      <c r="K173" s="10" t="str">
        <f aca="false">IF(COUNT(H173:J173)=0,"",MAX(H173:J173))</f>
        <v/>
      </c>
      <c r="L173" s="8"/>
      <c r="M173" s="8"/>
    </row>
    <row r="174" customFormat="false" ht="15" hidden="false" customHeight="false" outlineLevel="0" collapsed="false">
      <c r="A174" s="8"/>
      <c r="B174" s="8"/>
      <c r="C174" s="8"/>
      <c r="D174" s="8"/>
      <c r="E174" s="8"/>
      <c r="F174" s="8"/>
      <c r="G174" s="8"/>
      <c r="H174" s="9"/>
      <c r="I174" s="9"/>
      <c r="J174" s="9"/>
      <c r="K174" s="10" t="str">
        <f aca="false">IF(COUNT(H174:J174)=0,"",MAX(H174:J174))</f>
        <v/>
      </c>
      <c r="L174" s="8"/>
      <c r="M174" s="8"/>
    </row>
    <row r="175" customFormat="false" ht="15" hidden="false" customHeight="false" outlineLevel="0" collapsed="false">
      <c r="A175" s="8"/>
      <c r="B175" s="8"/>
      <c r="C175" s="8"/>
      <c r="D175" s="8"/>
      <c r="E175" s="8"/>
      <c r="F175" s="8"/>
      <c r="G175" s="8"/>
      <c r="H175" s="9"/>
      <c r="I175" s="9"/>
      <c r="J175" s="9"/>
      <c r="K175" s="10" t="str">
        <f aca="false">IF(COUNT(H175:J175)=0,"",MAX(H175:J175))</f>
        <v/>
      </c>
      <c r="L175" s="8"/>
      <c r="M175" s="8"/>
    </row>
    <row r="176" customFormat="false" ht="15" hidden="false" customHeight="false" outlineLevel="0" collapsed="false">
      <c r="A176" s="8"/>
      <c r="B176" s="8"/>
      <c r="C176" s="8"/>
      <c r="D176" s="8"/>
      <c r="E176" s="8"/>
      <c r="F176" s="8"/>
      <c r="G176" s="8"/>
      <c r="H176" s="9"/>
      <c r="I176" s="9"/>
      <c r="J176" s="9"/>
      <c r="K176" s="10" t="str">
        <f aca="false">IF(COUNT(H176:J176)=0,"",MAX(H176:J176))</f>
        <v/>
      </c>
      <c r="L176" s="8"/>
      <c r="M176" s="8"/>
    </row>
    <row r="177" customFormat="false" ht="15" hidden="false" customHeight="false" outlineLevel="0" collapsed="false">
      <c r="A177" s="8"/>
      <c r="B177" s="8"/>
      <c r="C177" s="8"/>
      <c r="D177" s="8"/>
      <c r="E177" s="8"/>
      <c r="F177" s="8"/>
      <c r="G177" s="8"/>
      <c r="H177" s="9"/>
      <c r="I177" s="9"/>
      <c r="J177" s="9"/>
      <c r="K177" s="10" t="str">
        <f aca="false">IF(COUNT(H177:J177)=0,"",MAX(H177:J177))</f>
        <v/>
      </c>
      <c r="L177" s="8"/>
      <c r="M177" s="8"/>
    </row>
    <row r="178" customFormat="false" ht="15" hidden="false" customHeight="false" outlineLevel="0" collapsed="false">
      <c r="A178" s="8"/>
      <c r="B178" s="8"/>
      <c r="C178" s="8"/>
      <c r="D178" s="8"/>
      <c r="E178" s="8"/>
      <c r="F178" s="8"/>
      <c r="G178" s="8"/>
      <c r="H178" s="9"/>
      <c r="I178" s="9"/>
      <c r="J178" s="9"/>
      <c r="K178" s="10" t="str">
        <f aca="false">IF(COUNT(H178:J178)=0,"",MAX(H178:J178))</f>
        <v/>
      </c>
      <c r="L178" s="8"/>
      <c r="M178" s="8"/>
    </row>
    <row r="179" customFormat="false" ht="15" hidden="false" customHeight="false" outlineLevel="0" collapsed="false">
      <c r="A179" s="8"/>
      <c r="B179" s="8"/>
      <c r="C179" s="8"/>
      <c r="D179" s="8"/>
      <c r="E179" s="8"/>
      <c r="F179" s="8"/>
      <c r="G179" s="8"/>
      <c r="H179" s="9"/>
      <c r="I179" s="9"/>
      <c r="J179" s="9"/>
      <c r="K179" s="10" t="str">
        <f aca="false">IF(COUNT(H179:J179)=0,"",MAX(H179:J179))</f>
        <v/>
      </c>
      <c r="L179" s="8"/>
      <c r="M179" s="8"/>
    </row>
    <row r="180" customFormat="false" ht="15" hidden="false" customHeight="false" outlineLevel="0" collapsed="false">
      <c r="A180" s="8"/>
      <c r="B180" s="8"/>
      <c r="C180" s="8"/>
      <c r="D180" s="8"/>
      <c r="E180" s="8"/>
      <c r="F180" s="8"/>
      <c r="G180" s="8"/>
      <c r="H180" s="9"/>
      <c r="I180" s="9"/>
      <c r="J180" s="9"/>
      <c r="K180" s="10" t="str">
        <f aca="false">IF(COUNT(H180:J180)=0,"",MAX(H180:J180))</f>
        <v/>
      </c>
      <c r="L180" s="8"/>
      <c r="M180" s="8"/>
    </row>
    <row r="181" customFormat="false" ht="15" hidden="false" customHeight="false" outlineLevel="0" collapsed="false">
      <c r="A181" s="8"/>
      <c r="B181" s="8"/>
      <c r="C181" s="8"/>
      <c r="D181" s="8"/>
      <c r="E181" s="8"/>
      <c r="F181" s="8"/>
      <c r="G181" s="8"/>
      <c r="H181" s="9"/>
      <c r="I181" s="9"/>
      <c r="J181" s="9"/>
      <c r="K181" s="10" t="str">
        <f aca="false">IF(COUNT(H181:J181)=0,"",MAX(H181:J181))</f>
        <v/>
      </c>
      <c r="L181" s="8"/>
      <c r="M181" s="8"/>
    </row>
    <row r="182" customFormat="false" ht="15" hidden="false" customHeight="false" outlineLevel="0" collapsed="false">
      <c r="A182" s="8"/>
      <c r="B182" s="8"/>
      <c r="C182" s="8"/>
      <c r="D182" s="8"/>
      <c r="E182" s="8"/>
      <c r="F182" s="8"/>
      <c r="G182" s="8"/>
      <c r="H182" s="9"/>
      <c r="I182" s="9"/>
      <c r="J182" s="9"/>
      <c r="K182" s="10" t="str">
        <f aca="false">IF(COUNT(H182:J182)=0,"",MAX(H182:J182))</f>
        <v/>
      </c>
      <c r="L182" s="8"/>
      <c r="M182" s="8"/>
    </row>
    <row r="183" customFormat="false" ht="15" hidden="false" customHeight="false" outlineLevel="0" collapsed="false">
      <c r="A183" s="8"/>
      <c r="B183" s="8"/>
      <c r="C183" s="8"/>
      <c r="D183" s="8"/>
      <c r="E183" s="8"/>
      <c r="F183" s="8"/>
      <c r="G183" s="8"/>
      <c r="H183" s="9"/>
      <c r="I183" s="9"/>
      <c r="J183" s="9"/>
      <c r="K183" s="10" t="str">
        <f aca="false">IF(COUNT(H183:J183)=0,"",MAX(H183:J183))</f>
        <v/>
      </c>
      <c r="L183" s="8"/>
      <c r="M183" s="8"/>
    </row>
    <row r="184" customFormat="false" ht="15" hidden="false" customHeight="false" outlineLevel="0" collapsed="false">
      <c r="A184" s="8"/>
      <c r="B184" s="8"/>
      <c r="C184" s="8"/>
      <c r="D184" s="8"/>
      <c r="E184" s="8"/>
      <c r="F184" s="8"/>
      <c r="G184" s="8"/>
      <c r="H184" s="9"/>
      <c r="I184" s="9"/>
      <c r="J184" s="9"/>
      <c r="K184" s="10" t="str">
        <f aca="false">IF(COUNT(H184:J184)=0,"",MAX(H184:J184))</f>
        <v/>
      </c>
      <c r="L184" s="8"/>
      <c r="M184" s="8"/>
    </row>
    <row r="185" customFormat="false" ht="15" hidden="false" customHeight="false" outlineLevel="0" collapsed="false">
      <c r="A185" s="8"/>
      <c r="B185" s="8"/>
      <c r="C185" s="8"/>
      <c r="D185" s="8"/>
      <c r="E185" s="8"/>
      <c r="F185" s="8"/>
      <c r="G185" s="8"/>
      <c r="H185" s="9"/>
      <c r="I185" s="9"/>
      <c r="J185" s="9"/>
      <c r="K185" s="10" t="str">
        <f aca="false">IF(COUNT(H185:J185)=0,"",MAX(H185:J185))</f>
        <v/>
      </c>
      <c r="L185" s="8"/>
      <c r="M185" s="8"/>
    </row>
    <row r="186" customFormat="false" ht="15" hidden="false" customHeight="false" outlineLevel="0" collapsed="false">
      <c r="A186" s="8"/>
      <c r="B186" s="8"/>
      <c r="C186" s="8"/>
      <c r="D186" s="8"/>
      <c r="E186" s="8"/>
      <c r="F186" s="8"/>
      <c r="G186" s="8"/>
      <c r="H186" s="9"/>
      <c r="I186" s="9"/>
      <c r="J186" s="9"/>
      <c r="K186" s="10" t="str">
        <f aca="false">IF(COUNT(H186:J186)=0,"",MAX(H186:J186))</f>
        <v/>
      </c>
      <c r="L186" s="8"/>
      <c r="M186" s="8"/>
    </row>
    <row r="187" customFormat="false" ht="15" hidden="false" customHeight="false" outlineLevel="0" collapsed="false">
      <c r="A187" s="8"/>
      <c r="B187" s="8"/>
      <c r="C187" s="8"/>
      <c r="D187" s="8"/>
      <c r="E187" s="8"/>
      <c r="F187" s="8"/>
      <c r="G187" s="8"/>
      <c r="H187" s="9"/>
      <c r="I187" s="9"/>
      <c r="J187" s="9"/>
      <c r="K187" s="10" t="str">
        <f aca="false">IF(COUNT(H187:J187)=0,"",MAX(H187:J187))</f>
        <v/>
      </c>
      <c r="L187" s="8"/>
      <c r="M187" s="8"/>
    </row>
    <row r="188" customFormat="false" ht="15" hidden="false" customHeight="false" outlineLevel="0" collapsed="false">
      <c r="A188" s="8"/>
      <c r="B188" s="8"/>
      <c r="C188" s="8"/>
      <c r="D188" s="8"/>
      <c r="E188" s="8"/>
      <c r="F188" s="8"/>
      <c r="G188" s="8"/>
      <c r="H188" s="9"/>
      <c r="I188" s="9"/>
      <c r="J188" s="9"/>
      <c r="K188" s="10" t="str">
        <f aca="false">IF(COUNT(H188:J188)=0,"",MAX(H188:J188))</f>
        <v/>
      </c>
      <c r="L188" s="8"/>
      <c r="M188" s="8"/>
    </row>
    <row r="189" customFormat="false" ht="15" hidden="false" customHeight="false" outlineLevel="0" collapsed="false">
      <c r="A189" s="8"/>
      <c r="B189" s="8"/>
      <c r="C189" s="8"/>
      <c r="D189" s="8"/>
      <c r="E189" s="8"/>
      <c r="F189" s="8"/>
      <c r="G189" s="8"/>
      <c r="H189" s="9"/>
      <c r="I189" s="9"/>
      <c r="J189" s="9"/>
      <c r="K189" s="10" t="str">
        <f aca="false">IF(COUNT(H189:J189)=0,"",MAX(H189:J189))</f>
        <v/>
      </c>
      <c r="L189" s="8"/>
      <c r="M189" s="8"/>
    </row>
    <row r="190" customFormat="false" ht="15" hidden="false" customHeight="false" outlineLevel="0" collapsed="false">
      <c r="A190" s="8"/>
      <c r="B190" s="8"/>
      <c r="C190" s="8"/>
      <c r="D190" s="8"/>
      <c r="E190" s="8"/>
      <c r="F190" s="8"/>
      <c r="G190" s="8"/>
      <c r="H190" s="9"/>
      <c r="I190" s="9"/>
      <c r="J190" s="9"/>
      <c r="K190" s="10" t="str">
        <f aca="false">IF(COUNT(H190:J190)=0,"",MAX(H190:J190))</f>
        <v/>
      </c>
      <c r="L190" s="8"/>
      <c r="M190" s="8"/>
    </row>
    <row r="191" customFormat="false" ht="15" hidden="false" customHeight="false" outlineLevel="0" collapsed="false">
      <c r="A191" s="8"/>
      <c r="B191" s="8"/>
      <c r="C191" s="8"/>
      <c r="D191" s="8"/>
      <c r="E191" s="8"/>
      <c r="F191" s="8"/>
      <c r="G191" s="8"/>
      <c r="H191" s="9"/>
      <c r="I191" s="9"/>
      <c r="J191" s="9"/>
      <c r="K191" s="10" t="str">
        <f aca="false">IF(COUNT(H191:J191)=0,"",MAX(H191:J191))</f>
        <v/>
      </c>
      <c r="L191" s="8"/>
      <c r="M191" s="8"/>
    </row>
    <row r="192" customFormat="false" ht="15" hidden="false" customHeight="false" outlineLevel="0" collapsed="false">
      <c r="A192" s="8"/>
      <c r="B192" s="8"/>
      <c r="C192" s="8"/>
      <c r="D192" s="8"/>
      <c r="E192" s="8"/>
      <c r="F192" s="8"/>
      <c r="G192" s="8"/>
      <c r="H192" s="9"/>
      <c r="I192" s="9"/>
      <c r="J192" s="9"/>
      <c r="K192" s="10" t="str">
        <f aca="false">IF(COUNT(H192:J192)=0,"",MAX(H192:J192))</f>
        <v/>
      </c>
      <c r="L192" s="8"/>
      <c r="M192" s="8"/>
    </row>
    <row r="193" customFormat="false" ht="15" hidden="false" customHeight="false" outlineLevel="0" collapsed="false">
      <c r="A193" s="8"/>
      <c r="B193" s="8"/>
      <c r="C193" s="8"/>
      <c r="D193" s="8"/>
      <c r="E193" s="8"/>
      <c r="F193" s="8"/>
      <c r="G193" s="8"/>
      <c r="H193" s="9"/>
      <c r="I193" s="9"/>
      <c r="J193" s="9"/>
      <c r="K193" s="10" t="str">
        <f aca="false">IF(COUNT(H193:J193)=0,"",MAX(H193:J193))</f>
        <v/>
      </c>
      <c r="L193" s="8"/>
      <c r="M193" s="8"/>
    </row>
    <row r="194" customFormat="false" ht="15" hidden="false" customHeight="false" outlineLevel="0" collapsed="false">
      <c r="A194" s="8"/>
      <c r="B194" s="8"/>
      <c r="C194" s="8"/>
      <c r="D194" s="8"/>
      <c r="E194" s="8"/>
      <c r="F194" s="8"/>
      <c r="G194" s="8"/>
      <c r="H194" s="9"/>
      <c r="I194" s="9"/>
      <c r="J194" s="9"/>
      <c r="K194" s="10" t="str">
        <f aca="false">IF(COUNT(H194:J194)=0,"",MAX(H194:J194))</f>
        <v/>
      </c>
      <c r="L194" s="8"/>
      <c r="M194" s="8"/>
    </row>
    <row r="195" customFormat="false" ht="15" hidden="false" customHeight="false" outlineLevel="0" collapsed="false">
      <c r="A195" s="8"/>
      <c r="B195" s="8"/>
      <c r="C195" s="8"/>
      <c r="D195" s="8"/>
      <c r="E195" s="8"/>
      <c r="F195" s="8"/>
      <c r="G195" s="8"/>
      <c r="H195" s="9"/>
      <c r="I195" s="9"/>
      <c r="J195" s="9"/>
      <c r="K195" s="10" t="str">
        <f aca="false">IF(COUNT(H195:J195)=0,"",MAX(H195:J195))</f>
        <v/>
      </c>
      <c r="L195" s="8"/>
      <c r="M195" s="8"/>
    </row>
    <row r="196" customFormat="false" ht="15" hidden="false" customHeight="false" outlineLevel="0" collapsed="false">
      <c r="A196" s="8"/>
      <c r="B196" s="8"/>
      <c r="C196" s="8"/>
      <c r="D196" s="8"/>
      <c r="E196" s="8"/>
      <c r="F196" s="8"/>
      <c r="G196" s="8"/>
      <c r="H196" s="9"/>
      <c r="I196" s="9"/>
      <c r="J196" s="9"/>
      <c r="K196" s="10" t="str">
        <f aca="false">IF(COUNT(H196:J196)=0,"",MAX(H196:J196))</f>
        <v/>
      </c>
      <c r="L196" s="8"/>
      <c r="M196" s="8"/>
    </row>
    <row r="197" customFormat="false" ht="15" hidden="false" customHeight="false" outlineLevel="0" collapsed="false">
      <c r="A197" s="8"/>
      <c r="B197" s="8"/>
      <c r="C197" s="8"/>
      <c r="D197" s="8"/>
      <c r="E197" s="8"/>
      <c r="F197" s="8"/>
      <c r="G197" s="8"/>
      <c r="H197" s="9"/>
      <c r="I197" s="9"/>
      <c r="J197" s="9"/>
      <c r="K197" s="10" t="str">
        <f aca="false">IF(COUNT(H197:J197)=0,"",MAX(H197:J197))</f>
        <v/>
      </c>
      <c r="L197" s="8"/>
      <c r="M197" s="8"/>
    </row>
    <row r="198" customFormat="false" ht="15" hidden="false" customHeight="false" outlineLevel="0" collapsed="false">
      <c r="A198" s="8"/>
      <c r="B198" s="8"/>
      <c r="C198" s="8"/>
      <c r="D198" s="8"/>
      <c r="E198" s="8"/>
      <c r="F198" s="8"/>
      <c r="G198" s="8"/>
      <c r="H198" s="9"/>
      <c r="I198" s="9"/>
      <c r="J198" s="9"/>
      <c r="K198" s="10" t="str">
        <f aca="false">IF(COUNT(H198:J198)=0,"",MAX(H198:J198))</f>
        <v/>
      </c>
      <c r="L198" s="8"/>
      <c r="M198" s="8"/>
    </row>
    <row r="199" customFormat="false" ht="15" hidden="false" customHeight="false" outlineLevel="0" collapsed="false">
      <c r="A199" s="8"/>
      <c r="B199" s="8"/>
      <c r="C199" s="8"/>
      <c r="D199" s="8"/>
      <c r="E199" s="8"/>
      <c r="F199" s="8"/>
      <c r="G199" s="8"/>
      <c r="H199" s="9"/>
      <c r="I199" s="9"/>
      <c r="J199" s="9"/>
      <c r="K199" s="10" t="str">
        <f aca="false">IF(COUNT(H199:J199)=0,"",MAX(H199:J199))</f>
        <v/>
      </c>
      <c r="L199" s="8"/>
      <c r="M199" s="8"/>
    </row>
    <row r="200" customFormat="false" ht="15" hidden="false" customHeight="false" outlineLevel="0" collapsed="false">
      <c r="A200" s="8"/>
      <c r="B200" s="8"/>
      <c r="C200" s="8"/>
      <c r="D200" s="8"/>
      <c r="E200" s="8"/>
      <c r="F200" s="8"/>
      <c r="G200" s="8"/>
      <c r="H200" s="9"/>
      <c r="I200" s="9"/>
      <c r="J200" s="9"/>
      <c r="K200" s="10" t="str">
        <f aca="false">IF(COUNT(H200:J200)=0,"",MAX(H200:J200))</f>
        <v/>
      </c>
      <c r="L200" s="8"/>
      <c r="M200" s="8"/>
    </row>
    <row r="201" customFormat="false" ht="15" hidden="false" customHeight="false" outlineLevel="0" collapsed="false">
      <c r="A201" s="8"/>
      <c r="B201" s="8"/>
      <c r="C201" s="8"/>
      <c r="D201" s="8"/>
      <c r="E201" s="8"/>
      <c r="F201" s="8"/>
      <c r="G201" s="8"/>
      <c r="H201" s="9"/>
      <c r="I201" s="9"/>
      <c r="J201" s="9"/>
      <c r="K201" s="10" t="str">
        <f aca="false">IF(COUNT(H201:J201)=0,"",MAX(H201:J201))</f>
        <v/>
      </c>
      <c r="L201" s="8"/>
      <c r="M201" s="8"/>
    </row>
    <row r="202" customFormat="false" ht="15" hidden="false" customHeight="false" outlineLevel="0" collapsed="false">
      <c r="A202" s="8"/>
      <c r="B202" s="8"/>
      <c r="C202" s="8"/>
      <c r="D202" s="8"/>
      <c r="E202" s="8"/>
      <c r="F202" s="8"/>
      <c r="G202" s="8"/>
      <c r="H202" s="9"/>
      <c r="I202" s="9"/>
      <c r="J202" s="9"/>
      <c r="K202" s="10" t="str">
        <f aca="false">IF(COUNT(H202:J202)=0,"",MAX(H202:J202))</f>
        <v/>
      </c>
      <c r="L202" s="8"/>
      <c r="M202" s="8"/>
    </row>
    <row r="203" customFormat="false" ht="15" hidden="false" customHeight="false" outlineLevel="0" collapsed="false">
      <c r="A203" s="8"/>
      <c r="B203" s="8"/>
      <c r="C203" s="8"/>
      <c r="D203" s="8"/>
      <c r="E203" s="8"/>
      <c r="F203" s="8"/>
      <c r="G203" s="8"/>
      <c r="H203" s="9"/>
      <c r="I203" s="9"/>
      <c r="J203" s="9"/>
      <c r="K203" s="10" t="str">
        <f aca="false">IF(COUNT(H203:J203)=0,"",MAX(H203:J203))</f>
        <v/>
      </c>
      <c r="L203" s="8"/>
      <c r="M203" s="8"/>
    </row>
    <row r="204" customFormat="false" ht="15" hidden="false" customHeight="false" outlineLevel="0" collapsed="false">
      <c r="A204" s="8"/>
      <c r="B204" s="8"/>
      <c r="C204" s="8"/>
      <c r="D204" s="8"/>
      <c r="E204" s="8"/>
      <c r="F204" s="8"/>
      <c r="G204" s="8"/>
      <c r="H204" s="9"/>
      <c r="I204" s="9"/>
      <c r="J204" s="9"/>
      <c r="K204" s="10" t="str">
        <f aca="false">IF(COUNT(H204:J204)=0,"",MAX(H204:J204))</f>
        <v/>
      </c>
      <c r="L204" s="8"/>
      <c r="M204" s="8"/>
    </row>
  </sheetData>
  <autoFilter ref="A4:M204"/>
  <dataValidations count="3">
    <dataValidation allowBlank="true" errorStyle="stop" operator="between" showDropDown="false" showErrorMessage="false" showInputMessage="false" sqref="C5:C204" type="list">
      <formula1>"Información,Aplicación,Software,Servicio en la nube,Hardware,Red,Instalación,Personas,Proveedor"</formula1>
      <formula2>0</formula2>
    </dataValidation>
    <dataValidation allowBlank="true" errorStyle="stop" operator="between" showDropDown="false" showErrorMessage="false" showInputMessage="false" sqref="G5:G204" type="list">
      <formula1>"Público,Uso interno,Confidencial,Restringida"</formula1>
      <formula2>0</formula2>
    </dataValidation>
    <dataValidation allowBlank="true" error="Usa un número entero del 1 al 5." errorStyle="stop" errorTitle="Valor no válido" operator="between" showDropDown="false" showErrorMessage="true" showInputMessage="false" sqref="H5:J204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9"/>
    <col collapsed="false" customWidth="true" hidden="false" outlineLevel="0" max="3" min="3" style="0" width="26"/>
    <col collapsed="false" customWidth="true" hidden="false" outlineLevel="0" max="4" min="4" style="0" width="10"/>
    <col collapsed="false" customWidth="true" hidden="false" outlineLevel="0" max="5" min="5" style="0" width="28"/>
    <col collapsed="false" customWidth="true" hidden="false" outlineLevel="0" max="6" min="6" style="0" width="11"/>
    <col collapsed="false" customWidth="true" hidden="false" outlineLevel="0" max="7" min="7" style="0" width="28"/>
    <col collapsed="false" customWidth="true" hidden="false" outlineLevel="0" max="8" min="8" style="0" width="48"/>
    <col collapsed="false" customWidth="true" hidden="false" outlineLevel="0" max="9" min="9" style="0" width="11"/>
    <col collapsed="false" customWidth="true" hidden="false" outlineLevel="0" max="10" min="10" style="0" width="20"/>
    <col collapsed="false" customWidth="true" hidden="false" outlineLevel="0" max="11" min="11" style="0" width="28"/>
    <col collapsed="false" customWidth="true" hidden="false" outlineLevel="0" max="12" min="12" style="0" width="12"/>
    <col collapsed="false" customWidth="true" hidden="false" outlineLevel="0" max="13" min="13" style="0" width="11"/>
    <col collapsed="false" customWidth="true" hidden="false" outlineLevel="0" max="14" min="14" style="0" width="10"/>
    <col collapsed="false" customWidth="true" hidden="false" outlineLevel="0" max="15" min="15" style="0" width="13"/>
    <col collapsed="false" customWidth="true" hidden="false" outlineLevel="0" max="17" min="16" style="0" width="12"/>
    <col collapsed="false" customWidth="true" hidden="false" outlineLevel="0" max="18" min="18" style="0" width="11"/>
    <col collapsed="false" customWidth="true" hidden="false" outlineLevel="0" max="19" min="19" style="0" width="10"/>
    <col collapsed="false" customWidth="true" hidden="false" outlineLevel="0" max="20" min="20" style="0" width="13"/>
    <col collapsed="false" customWidth="true" hidden="false" outlineLevel="0" max="21" min="21" style="0" width="12"/>
    <col collapsed="false" customWidth="true" hidden="false" outlineLevel="0" max="22" min="22" style="0" width="13"/>
  </cols>
  <sheetData>
    <row r="1" customFormat="false" ht="17.35" hidden="false" customHeight="false" outlineLevel="0" collapsed="false">
      <c r="A1" s="1" t="s">
        <v>67</v>
      </c>
    </row>
    <row r="2" customFormat="false" ht="15" hidden="false" customHeight="false" outlineLevel="0" collapsed="false">
      <c r="A2" s="2" t="s">
        <v>68</v>
      </c>
    </row>
    <row r="4" customFormat="false" ht="42" hidden="false" customHeight="true" outlineLevel="0" collapsed="false">
      <c r="A4" s="7" t="s">
        <v>69</v>
      </c>
      <c r="B4" s="7" t="s">
        <v>70</v>
      </c>
      <c r="C4" s="7" t="s">
        <v>18</v>
      </c>
      <c r="D4" s="7" t="s">
        <v>71</v>
      </c>
      <c r="E4" s="7" t="s">
        <v>72</v>
      </c>
      <c r="F4" s="7" t="s">
        <v>73</v>
      </c>
      <c r="G4" s="7" t="s">
        <v>74</v>
      </c>
      <c r="H4" s="7" t="s">
        <v>75</v>
      </c>
      <c r="I4" s="7" t="s">
        <v>76</v>
      </c>
      <c r="J4" s="7" t="s">
        <v>77</v>
      </c>
      <c r="K4" s="7" t="s">
        <v>78</v>
      </c>
      <c r="L4" s="7" t="s">
        <v>79</v>
      </c>
      <c r="M4" s="7" t="s">
        <v>80</v>
      </c>
      <c r="N4" s="7" t="s">
        <v>81</v>
      </c>
      <c r="O4" s="7" t="s">
        <v>82</v>
      </c>
      <c r="P4" s="7" t="s">
        <v>83</v>
      </c>
      <c r="Q4" s="7" t="s">
        <v>84</v>
      </c>
      <c r="R4" s="7" t="s">
        <v>85</v>
      </c>
      <c r="S4" s="7" t="s">
        <v>86</v>
      </c>
      <c r="T4" s="7" t="s">
        <v>87</v>
      </c>
      <c r="U4" s="7" t="s">
        <v>88</v>
      </c>
      <c r="V4" s="7" t="s">
        <v>89</v>
      </c>
    </row>
    <row r="5" customFormat="false" ht="35.05" hidden="false" customHeight="false" outlineLevel="0" collapsed="false">
      <c r="A5" s="9" t="s">
        <v>90</v>
      </c>
      <c r="B5" s="9" t="s">
        <v>30</v>
      </c>
      <c r="C5" s="11" t="str">
        <f aca="false">IF(B5="","",IFERROR(INDEX('Inventario de activos'!$B$5:$B$204,MATCH(B5,'Inventario de activos'!$A$5:$A$204,0)),"ID no encontrado"))</f>
        <v>Microsoft 365 (correo y colaboración)</v>
      </c>
      <c r="D5" s="9" t="s">
        <v>91</v>
      </c>
      <c r="E5" s="11" t="str">
        <f aca="false">IF(D5="","",IFERROR(INDEX('Catálogo de amenazas'!$B$5:$B$204,MATCH(D5,'Catálogo de amenazas'!$A$5:$A$204,0)),"ID no encontrado"))</f>
        <v>Phishing e ingeniería social</v>
      </c>
      <c r="F5" s="9" t="s">
        <v>92</v>
      </c>
      <c r="G5" s="11" t="str">
        <f aca="false">IF(F5="","",IFERROR(INDEX('Catálogo de vulnerabilidades'!$B$5:$B$204,MATCH(F5,'Catálogo de vulnerabilidades'!$A$5:$A$204,0)),"ID no encontrado"))</f>
        <v>Falta de concientización del personal</v>
      </c>
      <c r="H5" s="8" t="s">
        <v>93</v>
      </c>
      <c r="I5" s="9" t="s">
        <v>94</v>
      </c>
      <c r="J5" s="8" t="s">
        <v>95</v>
      </c>
      <c r="K5" s="8" t="s">
        <v>96</v>
      </c>
      <c r="L5" s="9" t="n">
        <v>4</v>
      </c>
      <c r="M5" s="9" t="n">
        <v>4</v>
      </c>
      <c r="N5" s="12" t="n">
        <f aca="false">IF(OR(L5="",M5=""),"",L5*M5)</f>
        <v>16</v>
      </c>
      <c r="O5" s="13" t="str">
        <f aca="false">IF(N5="","",IF(N5&gt;=Escalas!$A$24,"Crítico",IF(N5&gt;=Escalas!$A$23,"Alto",IF(N5&gt;=Escalas!$A$22,"Medio","Bajo"))))</f>
        <v>Crítico</v>
      </c>
      <c r="P5" s="9" t="s">
        <v>97</v>
      </c>
      <c r="Q5" s="9" t="n">
        <v>2</v>
      </c>
      <c r="R5" s="9" t="n">
        <v>4</v>
      </c>
      <c r="S5" s="12" t="n">
        <f aca="false">IF(OR(Q5="",R5=""),"",Q5*R5)</f>
        <v>8</v>
      </c>
      <c r="T5" s="13" t="str">
        <f aca="false">IF(S5="","",IF(S5&gt;=Escalas!$A$24,"Crítico",IF(S5&gt;=Escalas!$A$23,"Alto",IF(S5&gt;=Escalas!$A$22,"Medio","Bajo"))))</f>
        <v>Medio</v>
      </c>
      <c r="U5" s="13" t="str">
        <f aca="false">IF(S5="","",IF(S5&lt;=Escalas!$D$28,"Sí","No — requiere aprobación"))</f>
        <v>Sí</v>
      </c>
      <c r="V5" s="9" t="s">
        <v>38</v>
      </c>
    </row>
    <row r="6" customFormat="false" ht="35.05" hidden="false" customHeight="false" outlineLevel="0" collapsed="false">
      <c r="A6" s="9" t="s">
        <v>98</v>
      </c>
      <c r="B6" s="9" t="s">
        <v>46</v>
      </c>
      <c r="C6" s="11" t="str">
        <f aca="false">IF(B6="","",IFERROR(INDEX('Inventario de activos'!$B$5:$B$204,MATCH(B6,'Inventario de activos'!$A$5:$A$204,0)),"ID no encontrado"))</f>
        <v>Base de datos del ERP</v>
      </c>
      <c r="D6" s="9" t="s">
        <v>99</v>
      </c>
      <c r="E6" s="11" t="str">
        <f aca="false">IF(D6="","",IFERROR(INDEX('Catálogo de amenazas'!$B$5:$B$204,MATCH(D6,'Catálogo de amenazas'!$A$5:$A$204,0)),"ID no encontrado"))</f>
        <v>Ransomware</v>
      </c>
      <c r="F6" s="9" t="s">
        <v>100</v>
      </c>
      <c r="G6" s="11" t="str">
        <f aca="false">IF(F6="","",IFERROR(INDEX('Catálogo de vulnerabilidades'!$B$5:$B$204,MATCH(F6,'Catálogo de vulnerabilidades'!$A$5:$A$204,0)),"ID no encontrado"))</f>
        <v>Respaldos inexistentes, no probados o no aislados</v>
      </c>
      <c r="H6" s="8" t="s">
        <v>101</v>
      </c>
      <c r="I6" s="9" t="s">
        <v>102</v>
      </c>
      <c r="J6" s="8" t="s">
        <v>50</v>
      </c>
      <c r="K6" s="8" t="s">
        <v>103</v>
      </c>
      <c r="L6" s="9" t="n">
        <v>3</v>
      </c>
      <c r="M6" s="9" t="n">
        <v>5</v>
      </c>
      <c r="N6" s="12" t="n">
        <f aca="false">IF(OR(L6="",M6=""),"",L6*M6)</f>
        <v>15</v>
      </c>
      <c r="O6" s="13" t="str">
        <f aca="false">IF(N6="","",IF(N6&gt;=Escalas!$A$24,"Crítico",IF(N6&gt;=Escalas!$A$23,"Alto",IF(N6&gt;=Escalas!$A$22,"Medio","Bajo"))))</f>
        <v>Crítico</v>
      </c>
      <c r="P6" s="9" t="s">
        <v>97</v>
      </c>
      <c r="Q6" s="9" t="n">
        <v>2</v>
      </c>
      <c r="R6" s="9" t="n">
        <v>3</v>
      </c>
      <c r="S6" s="12" t="n">
        <f aca="false">IF(OR(Q6="",R6=""),"",Q6*R6)</f>
        <v>6</v>
      </c>
      <c r="T6" s="13" t="str">
        <f aca="false">IF(S6="","",IF(S6&gt;=Escalas!$A$24,"Crítico",IF(S6&gt;=Escalas!$A$23,"Alto",IF(S6&gt;=Escalas!$A$22,"Medio","Bajo"))))</f>
        <v>Medio</v>
      </c>
      <c r="U6" s="13" t="str">
        <f aca="false">IF(S6="","",IF(S6&lt;=Escalas!$D$28,"Sí","No — requiere aprobación"))</f>
        <v>Sí</v>
      </c>
      <c r="V6" s="9" t="s">
        <v>38</v>
      </c>
    </row>
    <row r="7" customFormat="false" ht="35.05" hidden="false" customHeight="false" outlineLevel="0" collapsed="false">
      <c r="A7" s="9" t="s">
        <v>104</v>
      </c>
      <c r="B7" s="9" t="s">
        <v>39</v>
      </c>
      <c r="C7" s="11" t="str">
        <f aca="false">IF(B7="","",IFERROR(INDEX('Inventario de activos'!$B$5:$B$204,MATCH(B7,'Inventario de activos'!$A$5:$A$204,0)),"ID no encontrado"))</f>
        <v>CRM</v>
      </c>
      <c r="D7" s="9" t="s">
        <v>105</v>
      </c>
      <c r="E7" s="11" t="str">
        <f aca="false">IF(D7="","",IFERROR(INDEX('Catálogo de amenazas'!$B$5:$B$204,MATCH(D7,'Catálogo de amenazas'!$A$5:$A$204,0)),"ID no encontrado"))</f>
        <v>Acceso no autorizado por personal interno o excolaboradores</v>
      </c>
      <c r="F7" s="9" t="s">
        <v>106</v>
      </c>
      <c r="G7" s="11" t="str">
        <f aca="false">IF(F7="","",IFERROR(INDEX('Catálogo de vulnerabilidades'!$B$5:$B$204,MATCH(F7,'Catálogo de vulnerabilidades'!$A$5:$A$204,0)),"ID no encontrado"))</f>
        <v>Proceso de bajas de personal sin control</v>
      </c>
      <c r="H7" s="8" t="s">
        <v>107</v>
      </c>
      <c r="I7" s="9" t="s">
        <v>108</v>
      </c>
      <c r="J7" s="8" t="s">
        <v>43</v>
      </c>
      <c r="K7" s="8" t="s">
        <v>109</v>
      </c>
      <c r="L7" s="9" t="n">
        <v>3</v>
      </c>
      <c r="M7" s="9" t="n">
        <v>3</v>
      </c>
      <c r="N7" s="12" t="n">
        <f aca="false">IF(OR(L7="",M7=""),"",L7*M7)</f>
        <v>9</v>
      </c>
      <c r="O7" s="13" t="str">
        <f aca="false">IF(N7="","",IF(N7&gt;=Escalas!$A$24,"Crítico",IF(N7&gt;=Escalas!$A$23,"Alto",IF(N7&gt;=Escalas!$A$22,"Medio","Bajo"))))</f>
        <v>Alto</v>
      </c>
      <c r="P7" s="9" t="s">
        <v>97</v>
      </c>
      <c r="Q7" s="9" t="n">
        <v>1</v>
      </c>
      <c r="R7" s="9" t="n">
        <v>3</v>
      </c>
      <c r="S7" s="12" t="n">
        <f aca="false">IF(OR(Q7="",R7=""),"",Q7*R7)</f>
        <v>3</v>
      </c>
      <c r="T7" s="13" t="str">
        <f aca="false">IF(S7="","",IF(S7&gt;=Escalas!$A$24,"Crítico",IF(S7&gt;=Escalas!$A$23,"Alto",IF(S7&gt;=Escalas!$A$22,"Medio","Bajo"))))</f>
        <v>Bajo</v>
      </c>
      <c r="U7" s="13" t="str">
        <f aca="false">IF(S7="","",IF(S7&lt;=Escalas!$D$28,"Sí","No — requiere aprobación"))</f>
        <v>Sí</v>
      </c>
      <c r="V7" s="9" t="s">
        <v>38</v>
      </c>
    </row>
    <row r="8" customFormat="false" ht="23.85" hidden="false" customHeight="false" outlineLevel="0" collapsed="false">
      <c r="A8" s="9" t="s">
        <v>110</v>
      </c>
      <c r="B8" s="9" t="s">
        <v>54</v>
      </c>
      <c r="C8" s="11" t="str">
        <f aca="false">IF(B8="","",IFERROR(INDEX('Inventario de activos'!$B$5:$B$204,MATCH(B8,'Inventario de activos'!$A$5:$A$204,0)),"ID no encontrado"))</f>
        <v>Laptops del personal</v>
      </c>
      <c r="D8" s="9" t="s">
        <v>111</v>
      </c>
      <c r="E8" s="11" t="str">
        <f aca="false">IF(D8="","",IFERROR(INDEX('Catálogo de amenazas'!$B$5:$B$204,MATCH(D8,'Catálogo de amenazas'!$A$5:$A$204,0)),"ID no encontrado"))</f>
        <v>Robo o pérdida de equipos</v>
      </c>
      <c r="F8" s="9" t="s">
        <v>112</v>
      </c>
      <c r="G8" s="11" t="str">
        <f aca="false">IF(F8="","",IFERROR(INDEX('Catálogo de vulnerabilidades'!$B$5:$B$204,MATCH(F8,'Catálogo de vulnerabilidades'!$A$5:$A$204,0)),"ID no encontrado"))</f>
        <v>Equipos sin cifrado de disco</v>
      </c>
      <c r="H8" s="8" t="s">
        <v>113</v>
      </c>
      <c r="I8" s="9" t="s">
        <v>108</v>
      </c>
      <c r="J8" s="8" t="s">
        <v>34</v>
      </c>
      <c r="K8" s="8" t="s">
        <v>114</v>
      </c>
      <c r="L8" s="9" t="n">
        <v>3</v>
      </c>
      <c r="M8" s="9" t="n">
        <v>4</v>
      </c>
      <c r="N8" s="12" t="n">
        <f aca="false">IF(OR(L8="",M8=""),"",L8*M8)</f>
        <v>12</v>
      </c>
      <c r="O8" s="13" t="str">
        <f aca="false">IF(N8="","",IF(N8&gt;=Escalas!$A$24,"Crítico",IF(N8&gt;=Escalas!$A$23,"Alto",IF(N8&gt;=Escalas!$A$22,"Medio","Bajo"))))</f>
        <v>Alto</v>
      </c>
      <c r="P8" s="9" t="s">
        <v>97</v>
      </c>
      <c r="Q8" s="9" t="n">
        <v>3</v>
      </c>
      <c r="R8" s="9" t="n">
        <v>1</v>
      </c>
      <c r="S8" s="12" t="n">
        <f aca="false">IF(OR(Q8="",R8=""),"",Q8*R8)</f>
        <v>3</v>
      </c>
      <c r="T8" s="13" t="str">
        <f aca="false">IF(S8="","",IF(S8&gt;=Escalas!$A$24,"Crítico",IF(S8&gt;=Escalas!$A$23,"Alto",IF(S8&gt;=Escalas!$A$22,"Medio","Bajo"))))</f>
        <v>Bajo</v>
      </c>
      <c r="U8" s="13" t="str">
        <f aca="false">IF(S8="","",IF(S8&lt;=Escalas!$D$28,"Sí","No — requiere aprobación"))</f>
        <v>Sí</v>
      </c>
      <c r="V8" s="9" t="s">
        <v>38</v>
      </c>
    </row>
    <row r="9" customFormat="false" ht="23.85" hidden="false" customHeight="false" outlineLevel="0" collapsed="false">
      <c r="A9" s="9" t="s">
        <v>115</v>
      </c>
      <c r="B9" s="9" t="s">
        <v>30</v>
      </c>
      <c r="C9" s="11" t="str">
        <f aca="false">IF(B9="","",IFERROR(INDEX('Inventario de activos'!$B$5:$B$204,MATCH(B9,'Inventario de activos'!$A$5:$A$204,0)),"ID no encontrado"))</f>
        <v>Microsoft 365 (correo y colaboración)</v>
      </c>
      <c r="D9" s="9" t="s">
        <v>116</v>
      </c>
      <c r="E9" s="11" t="str">
        <f aca="false">IF(D9="","",IFERROR(INDEX('Catálogo de amenazas'!$B$5:$B$204,MATCH(D9,'Catálogo de amenazas'!$A$5:$A$204,0)),"ID no encontrado"))</f>
        <v>Falla o interrupción de proveedor o servicio en la nube</v>
      </c>
      <c r="F9" s="9" t="s">
        <v>117</v>
      </c>
      <c r="G9" s="11" t="str">
        <f aca="false">IF(F9="","",IFERROR(INDEX('Catálogo de vulnerabilidades'!$B$5:$B$204,MATCH(F9,'Catálogo de vulnerabilidades'!$A$5:$A$204,0)),"ID no encontrado"))</f>
        <v>Dependencia de un solo proveedor sin plan de salida</v>
      </c>
      <c r="H9" s="8" t="s">
        <v>118</v>
      </c>
      <c r="I9" s="9" t="s">
        <v>119</v>
      </c>
      <c r="J9" s="8" t="s">
        <v>34</v>
      </c>
      <c r="K9" s="8" t="s">
        <v>120</v>
      </c>
      <c r="L9" s="9" t="n">
        <v>2</v>
      </c>
      <c r="M9" s="9" t="n">
        <v>4</v>
      </c>
      <c r="N9" s="12" t="n">
        <f aca="false">IF(OR(L9="",M9=""),"",L9*M9)</f>
        <v>8</v>
      </c>
      <c r="O9" s="13" t="str">
        <f aca="false">IF(N9="","",IF(N9&gt;=Escalas!$A$24,"Crítico",IF(N9&gt;=Escalas!$A$23,"Alto",IF(N9&gt;=Escalas!$A$22,"Medio","Bajo"))))</f>
        <v>Medio</v>
      </c>
      <c r="P9" s="9" t="s">
        <v>121</v>
      </c>
      <c r="Q9" s="9" t="n">
        <v>2</v>
      </c>
      <c r="R9" s="9" t="n">
        <v>4</v>
      </c>
      <c r="S9" s="12" t="n">
        <f aca="false">IF(OR(Q9="",R9=""),"",Q9*R9)</f>
        <v>8</v>
      </c>
      <c r="T9" s="13" t="str">
        <f aca="false">IF(S9="","",IF(S9&gt;=Escalas!$A$24,"Crítico",IF(S9&gt;=Escalas!$A$23,"Alto",IF(S9&gt;=Escalas!$A$22,"Medio","Bajo"))))</f>
        <v>Medio</v>
      </c>
      <c r="U9" s="13" t="str">
        <f aca="false">IF(S9="","",IF(S9&lt;=Escalas!$D$28,"Sí","No — requiere aprobación"))</f>
        <v>Sí</v>
      </c>
      <c r="V9" s="9" t="s">
        <v>38</v>
      </c>
    </row>
    <row r="10" customFormat="false" ht="15" hidden="false" customHeight="false" outlineLevel="0" collapsed="false">
      <c r="A10" s="9"/>
      <c r="B10" s="9"/>
      <c r="C10" s="11" t="str">
        <f aca="false">IF(B10="","",IFERROR(INDEX('Inventario de activos'!$B$5:$B$204,MATCH(B10,'Inventario de activos'!$A$5:$A$204,0)),"ID no encontrado"))</f>
        <v/>
      </c>
      <c r="D10" s="9"/>
      <c r="E10" s="11" t="str">
        <f aca="false">IF(D10="","",IFERROR(INDEX('Catálogo de amenazas'!$B$5:$B$204,MATCH(D10,'Catálogo de amenazas'!$A$5:$A$204,0)),"ID no encontrado"))</f>
        <v/>
      </c>
      <c r="F10" s="9"/>
      <c r="G10" s="11" t="str">
        <f aca="false">IF(F10="","",IFERROR(INDEX('Catálogo de vulnerabilidades'!$B$5:$B$204,MATCH(F10,'Catálogo de vulnerabilidades'!$A$5:$A$204,0)),"ID no encontrado"))</f>
        <v/>
      </c>
      <c r="H10" s="8"/>
      <c r="I10" s="9"/>
      <c r="J10" s="8"/>
      <c r="K10" s="8"/>
      <c r="L10" s="9"/>
      <c r="M10" s="9"/>
      <c r="N10" s="12" t="str">
        <f aca="false">IF(OR(L10="",M10=""),"",L10*M10)</f>
        <v/>
      </c>
      <c r="O10" s="13" t="str">
        <f aca="false">IF(N10="","",IF(N10&gt;=Escalas!$A$24,"Crítico",IF(N10&gt;=Escalas!$A$23,"Alto",IF(N10&gt;=Escalas!$A$22,"Medio","Bajo"))))</f>
        <v/>
      </c>
      <c r="P10" s="9"/>
      <c r="Q10" s="9"/>
      <c r="R10" s="9"/>
      <c r="S10" s="12" t="str">
        <f aca="false">IF(OR(Q10="",R10=""),"",Q10*R10)</f>
        <v/>
      </c>
      <c r="T10" s="13" t="str">
        <f aca="false">IF(S10="","",IF(S10&gt;=Escalas!$A$24,"Crítico",IF(S10&gt;=Escalas!$A$23,"Alto",IF(S10&gt;=Escalas!$A$22,"Medio","Bajo"))))</f>
        <v/>
      </c>
      <c r="U10" s="13" t="str">
        <f aca="false">IF(S10="","",IF(S10&lt;=Escalas!$D$28,"Sí","No — requiere aprobación"))</f>
        <v/>
      </c>
      <c r="V10" s="9"/>
    </row>
    <row r="11" customFormat="false" ht="15" hidden="false" customHeight="false" outlineLevel="0" collapsed="false">
      <c r="A11" s="9"/>
      <c r="B11" s="9"/>
      <c r="C11" s="11" t="str">
        <f aca="false">IF(B11="","",IFERROR(INDEX('Inventario de activos'!$B$5:$B$204,MATCH(B11,'Inventario de activos'!$A$5:$A$204,0)),"ID no encontrado"))</f>
        <v/>
      </c>
      <c r="D11" s="9"/>
      <c r="E11" s="11" t="str">
        <f aca="false">IF(D11="","",IFERROR(INDEX('Catálogo de amenazas'!$B$5:$B$204,MATCH(D11,'Catálogo de amenazas'!$A$5:$A$204,0)),"ID no encontrado"))</f>
        <v/>
      </c>
      <c r="F11" s="9"/>
      <c r="G11" s="11" t="str">
        <f aca="false">IF(F11="","",IFERROR(INDEX('Catálogo de vulnerabilidades'!$B$5:$B$204,MATCH(F11,'Catálogo de vulnerabilidades'!$A$5:$A$204,0)),"ID no encontrado"))</f>
        <v/>
      </c>
      <c r="H11" s="8"/>
      <c r="I11" s="9"/>
      <c r="J11" s="8"/>
      <c r="K11" s="8"/>
      <c r="L11" s="9"/>
      <c r="M11" s="9"/>
      <c r="N11" s="12" t="str">
        <f aca="false">IF(OR(L11="",M11=""),"",L11*M11)</f>
        <v/>
      </c>
      <c r="O11" s="13" t="str">
        <f aca="false">IF(N11="","",IF(N11&gt;=Escalas!$A$24,"Crítico",IF(N11&gt;=Escalas!$A$23,"Alto",IF(N11&gt;=Escalas!$A$22,"Medio","Bajo"))))</f>
        <v/>
      </c>
      <c r="P11" s="9"/>
      <c r="Q11" s="9"/>
      <c r="R11" s="9"/>
      <c r="S11" s="12" t="str">
        <f aca="false">IF(OR(Q11="",R11=""),"",Q11*R11)</f>
        <v/>
      </c>
      <c r="T11" s="13" t="str">
        <f aca="false">IF(S11="","",IF(S11&gt;=Escalas!$A$24,"Crítico",IF(S11&gt;=Escalas!$A$23,"Alto",IF(S11&gt;=Escalas!$A$22,"Medio","Bajo"))))</f>
        <v/>
      </c>
      <c r="U11" s="13" t="str">
        <f aca="false">IF(S11="","",IF(S11&lt;=Escalas!$D$28,"Sí","No — requiere aprobación"))</f>
        <v/>
      </c>
      <c r="V11" s="9"/>
    </row>
    <row r="12" customFormat="false" ht="15" hidden="false" customHeight="false" outlineLevel="0" collapsed="false">
      <c r="A12" s="9"/>
      <c r="B12" s="9"/>
      <c r="C12" s="11" t="str">
        <f aca="false">IF(B12="","",IFERROR(INDEX('Inventario de activos'!$B$5:$B$204,MATCH(B12,'Inventario de activos'!$A$5:$A$204,0)),"ID no encontrado"))</f>
        <v/>
      </c>
      <c r="D12" s="9"/>
      <c r="E12" s="11" t="str">
        <f aca="false">IF(D12="","",IFERROR(INDEX('Catálogo de amenazas'!$B$5:$B$204,MATCH(D12,'Catálogo de amenazas'!$A$5:$A$204,0)),"ID no encontrado"))</f>
        <v/>
      </c>
      <c r="F12" s="9"/>
      <c r="G12" s="11" t="str">
        <f aca="false">IF(F12="","",IFERROR(INDEX('Catálogo de vulnerabilidades'!$B$5:$B$204,MATCH(F12,'Catálogo de vulnerabilidades'!$A$5:$A$204,0)),"ID no encontrado"))</f>
        <v/>
      </c>
      <c r="H12" s="8"/>
      <c r="I12" s="9"/>
      <c r="J12" s="8"/>
      <c r="K12" s="8"/>
      <c r="L12" s="9"/>
      <c r="M12" s="9"/>
      <c r="N12" s="12" t="str">
        <f aca="false">IF(OR(L12="",M12=""),"",L12*M12)</f>
        <v/>
      </c>
      <c r="O12" s="13" t="str">
        <f aca="false">IF(N12="","",IF(N12&gt;=Escalas!$A$24,"Crítico",IF(N12&gt;=Escalas!$A$23,"Alto",IF(N12&gt;=Escalas!$A$22,"Medio","Bajo"))))</f>
        <v/>
      </c>
      <c r="P12" s="9"/>
      <c r="Q12" s="9"/>
      <c r="R12" s="9"/>
      <c r="S12" s="12" t="str">
        <f aca="false">IF(OR(Q12="",R12=""),"",Q12*R12)</f>
        <v/>
      </c>
      <c r="T12" s="13" t="str">
        <f aca="false">IF(S12="","",IF(S12&gt;=Escalas!$A$24,"Crítico",IF(S12&gt;=Escalas!$A$23,"Alto",IF(S12&gt;=Escalas!$A$22,"Medio","Bajo"))))</f>
        <v/>
      </c>
      <c r="U12" s="13" t="str">
        <f aca="false">IF(S12="","",IF(S12&lt;=Escalas!$D$28,"Sí","No — requiere aprobación"))</f>
        <v/>
      </c>
      <c r="V12" s="9"/>
    </row>
    <row r="13" customFormat="false" ht="15" hidden="false" customHeight="false" outlineLevel="0" collapsed="false">
      <c r="A13" s="9"/>
      <c r="B13" s="9"/>
      <c r="C13" s="11" t="str">
        <f aca="false">IF(B13="","",IFERROR(INDEX('Inventario de activos'!$B$5:$B$204,MATCH(B13,'Inventario de activos'!$A$5:$A$204,0)),"ID no encontrado"))</f>
        <v/>
      </c>
      <c r="D13" s="9"/>
      <c r="E13" s="11" t="str">
        <f aca="false">IF(D13="","",IFERROR(INDEX('Catálogo de amenazas'!$B$5:$B$204,MATCH(D13,'Catálogo de amenazas'!$A$5:$A$204,0)),"ID no encontrado"))</f>
        <v/>
      </c>
      <c r="F13" s="9"/>
      <c r="G13" s="11" t="str">
        <f aca="false">IF(F13="","",IFERROR(INDEX('Catálogo de vulnerabilidades'!$B$5:$B$204,MATCH(F13,'Catálogo de vulnerabilidades'!$A$5:$A$204,0)),"ID no encontrado"))</f>
        <v/>
      </c>
      <c r="H13" s="8"/>
      <c r="I13" s="9"/>
      <c r="J13" s="8"/>
      <c r="K13" s="8"/>
      <c r="L13" s="9"/>
      <c r="M13" s="9"/>
      <c r="N13" s="12" t="str">
        <f aca="false">IF(OR(L13="",M13=""),"",L13*M13)</f>
        <v/>
      </c>
      <c r="O13" s="13" t="str">
        <f aca="false">IF(N13="","",IF(N13&gt;=Escalas!$A$24,"Crítico",IF(N13&gt;=Escalas!$A$23,"Alto",IF(N13&gt;=Escalas!$A$22,"Medio","Bajo"))))</f>
        <v/>
      </c>
      <c r="P13" s="9"/>
      <c r="Q13" s="9"/>
      <c r="R13" s="9"/>
      <c r="S13" s="12" t="str">
        <f aca="false">IF(OR(Q13="",R13=""),"",Q13*R13)</f>
        <v/>
      </c>
      <c r="T13" s="13" t="str">
        <f aca="false">IF(S13="","",IF(S13&gt;=Escalas!$A$24,"Crítico",IF(S13&gt;=Escalas!$A$23,"Alto",IF(S13&gt;=Escalas!$A$22,"Medio","Bajo"))))</f>
        <v/>
      </c>
      <c r="U13" s="13" t="str">
        <f aca="false">IF(S13="","",IF(S13&lt;=Escalas!$D$28,"Sí","No — requiere aprobación"))</f>
        <v/>
      </c>
      <c r="V13" s="9"/>
    </row>
    <row r="14" customFormat="false" ht="15" hidden="false" customHeight="false" outlineLevel="0" collapsed="false">
      <c r="A14" s="9"/>
      <c r="B14" s="9"/>
      <c r="C14" s="11" t="str">
        <f aca="false">IF(B14="","",IFERROR(INDEX('Inventario de activos'!$B$5:$B$204,MATCH(B14,'Inventario de activos'!$A$5:$A$204,0)),"ID no encontrado"))</f>
        <v/>
      </c>
      <c r="D14" s="9"/>
      <c r="E14" s="11" t="str">
        <f aca="false">IF(D14="","",IFERROR(INDEX('Catálogo de amenazas'!$B$5:$B$204,MATCH(D14,'Catálogo de amenazas'!$A$5:$A$204,0)),"ID no encontrado"))</f>
        <v/>
      </c>
      <c r="F14" s="9"/>
      <c r="G14" s="11" t="str">
        <f aca="false">IF(F14="","",IFERROR(INDEX('Catálogo de vulnerabilidades'!$B$5:$B$204,MATCH(F14,'Catálogo de vulnerabilidades'!$A$5:$A$204,0)),"ID no encontrado"))</f>
        <v/>
      </c>
      <c r="H14" s="8"/>
      <c r="I14" s="9"/>
      <c r="J14" s="8"/>
      <c r="K14" s="8"/>
      <c r="L14" s="9"/>
      <c r="M14" s="9"/>
      <c r="N14" s="12" t="str">
        <f aca="false">IF(OR(L14="",M14=""),"",L14*M14)</f>
        <v/>
      </c>
      <c r="O14" s="13" t="str">
        <f aca="false">IF(N14="","",IF(N14&gt;=Escalas!$A$24,"Crítico",IF(N14&gt;=Escalas!$A$23,"Alto",IF(N14&gt;=Escalas!$A$22,"Medio","Bajo"))))</f>
        <v/>
      </c>
      <c r="P14" s="9"/>
      <c r="Q14" s="9"/>
      <c r="R14" s="9"/>
      <c r="S14" s="12" t="str">
        <f aca="false">IF(OR(Q14="",R14=""),"",Q14*R14)</f>
        <v/>
      </c>
      <c r="T14" s="13" t="str">
        <f aca="false">IF(S14="","",IF(S14&gt;=Escalas!$A$24,"Crítico",IF(S14&gt;=Escalas!$A$23,"Alto",IF(S14&gt;=Escalas!$A$22,"Medio","Bajo"))))</f>
        <v/>
      </c>
      <c r="U14" s="13" t="str">
        <f aca="false">IF(S14="","",IF(S14&lt;=Escalas!$D$28,"Sí","No — requiere aprobación"))</f>
        <v/>
      </c>
      <c r="V14" s="9"/>
    </row>
    <row r="15" customFormat="false" ht="15" hidden="false" customHeight="false" outlineLevel="0" collapsed="false">
      <c r="A15" s="9"/>
      <c r="B15" s="9"/>
      <c r="C15" s="11" t="str">
        <f aca="false">IF(B15="","",IFERROR(INDEX('Inventario de activos'!$B$5:$B$204,MATCH(B15,'Inventario de activos'!$A$5:$A$204,0)),"ID no encontrado"))</f>
        <v/>
      </c>
      <c r="D15" s="9"/>
      <c r="E15" s="11" t="str">
        <f aca="false">IF(D15="","",IFERROR(INDEX('Catálogo de amenazas'!$B$5:$B$204,MATCH(D15,'Catálogo de amenazas'!$A$5:$A$204,0)),"ID no encontrado"))</f>
        <v/>
      </c>
      <c r="F15" s="9"/>
      <c r="G15" s="11" t="str">
        <f aca="false">IF(F15="","",IFERROR(INDEX('Catálogo de vulnerabilidades'!$B$5:$B$204,MATCH(F15,'Catálogo de vulnerabilidades'!$A$5:$A$204,0)),"ID no encontrado"))</f>
        <v/>
      </c>
      <c r="H15" s="8"/>
      <c r="I15" s="9"/>
      <c r="J15" s="8"/>
      <c r="K15" s="8"/>
      <c r="L15" s="9"/>
      <c r="M15" s="9"/>
      <c r="N15" s="12" t="str">
        <f aca="false">IF(OR(L15="",M15=""),"",L15*M15)</f>
        <v/>
      </c>
      <c r="O15" s="13" t="str">
        <f aca="false">IF(N15="","",IF(N15&gt;=Escalas!$A$24,"Crítico",IF(N15&gt;=Escalas!$A$23,"Alto",IF(N15&gt;=Escalas!$A$22,"Medio","Bajo"))))</f>
        <v/>
      </c>
      <c r="P15" s="9"/>
      <c r="Q15" s="9"/>
      <c r="R15" s="9"/>
      <c r="S15" s="12" t="str">
        <f aca="false">IF(OR(Q15="",R15=""),"",Q15*R15)</f>
        <v/>
      </c>
      <c r="T15" s="13" t="str">
        <f aca="false">IF(S15="","",IF(S15&gt;=Escalas!$A$24,"Crítico",IF(S15&gt;=Escalas!$A$23,"Alto",IF(S15&gt;=Escalas!$A$22,"Medio","Bajo"))))</f>
        <v/>
      </c>
      <c r="U15" s="13" t="str">
        <f aca="false">IF(S15="","",IF(S15&lt;=Escalas!$D$28,"Sí","No — requiere aprobación"))</f>
        <v/>
      </c>
      <c r="V15" s="9"/>
    </row>
    <row r="16" customFormat="false" ht="15" hidden="false" customHeight="false" outlineLevel="0" collapsed="false">
      <c r="A16" s="9"/>
      <c r="B16" s="9"/>
      <c r="C16" s="11" t="str">
        <f aca="false">IF(B16="","",IFERROR(INDEX('Inventario de activos'!$B$5:$B$204,MATCH(B16,'Inventario de activos'!$A$5:$A$204,0)),"ID no encontrado"))</f>
        <v/>
      </c>
      <c r="D16" s="9"/>
      <c r="E16" s="11" t="str">
        <f aca="false">IF(D16="","",IFERROR(INDEX('Catálogo de amenazas'!$B$5:$B$204,MATCH(D16,'Catálogo de amenazas'!$A$5:$A$204,0)),"ID no encontrado"))</f>
        <v/>
      </c>
      <c r="F16" s="9"/>
      <c r="G16" s="11" t="str">
        <f aca="false">IF(F16="","",IFERROR(INDEX('Catálogo de vulnerabilidades'!$B$5:$B$204,MATCH(F16,'Catálogo de vulnerabilidades'!$A$5:$A$204,0)),"ID no encontrado"))</f>
        <v/>
      </c>
      <c r="H16" s="8"/>
      <c r="I16" s="9"/>
      <c r="J16" s="8"/>
      <c r="K16" s="8"/>
      <c r="L16" s="9"/>
      <c r="M16" s="9"/>
      <c r="N16" s="12" t="str">
        <f aca="false">IF(OR(L16="",M16=""),"",L16*M16)</f>
        <v/>
      </c>
      <c r="O16" s="13" t="str">
        <f aca="false">IF(N16="","",IF(N16&gt;=Escalas!$A$24,"Crítico",IF(N16&gt;=Escalas!$A$23,"Alto",IF(N16&gt;=Escalas!$A$22,"Medio","Bajo"))))</f>
        <v/>
      </c>
      <c r="P16" s="9"/>
      <c r="Q16" s="9"/>
      <c r="R16" s="9"/>
      <c r="S16" s="12" t="str">
        <f aca="false">IF(OR(Q16="",R16=""),"",Q16*R16)</f>
        <v/>
      </c>
      <c r="T16" s="13" t="str">
        <f aca="false">IF(S16="","",IF(S16&gt;=Escalas!$A$24,"Crítico",IF(S16&gt;=Escalas!$A$23,"Alto",IF(S16&gt;=Escalas!$A$22,"Medio","Bajo"))))</f>
        <v/>
      </c>
      <c r="U16" s="13" t="str">
        <f aca="false">IF(S16="","",IF(S16&lt;=Escalas!$D$28,"Sí","No — requiere aprobación"))</f>
        <v/>
      </c>
      <c r="V16" s="9"/>
    </row>
    <row r="17" customFormat="false" ht="15" hidden="false" customHeight="false" outlineLevel="0" collapsed="false">
      <c r="A17" s="9"/>
      <c r="B17" s="9"/>
      <c r="C17" s="11" t="str">
        <f aca="false">IF(B17="","",IFERROR(INDEX('Inventario de activos'!$B$5:$B$204,MATCH(B17,'Inventario de activos'!$A$5:$A$204,0)),"ID no encontrado"))</f>
        <v/>
      </c>
      <c r="D17" s="9"/>
      <c r="E17" s="11" t="str">
        <f aca="false">IF(D17="","",IFERROR(INDEX('Catálogo de amenazas'!$B$5:$B$204,MATCH(D17,'Catálogo de amenazas'!$A$5:$A$204,0)),"ID no encontrado"))</f>
        <v/>
      </c>
      <c r="F17" s="9"/>
      <c r="G17" s="11" t="str">
        <f aca="false">IF(F17="","",IFERROR(INDEX('Catálogo de vulnerabilidades'!$B$5:$B$204,MATCH(F17,'Catálogo de vulnerabilidades'!$A$5:$A$204,0)),"ID no encontrado"))</f>
        <v/>
      </c>
      <c r="H17" s="8"/>
      <c r="I17" s="9"/>
      <c r="J17" s="8"/>
      <c r="K17" s="8"/>
      <c r="L17" s="9"/>
      <c r="M17" s="9"/>
      <c r="N17" s="12" t="str">
        <f aca="false">IF(OR(L17="",M17=""),"",L17*M17)</f>
        <v/>
      </c>
      <c r="O17" s="13" t="str">
        <f aca="false">IF(N17="","",IF(N17&gt;=Escalas!$A$24,"Crítico",IF(N17&gt;=Escalas!$A$23,"Alto",IF(N17&gt;=Escalas!$A$22,"Medio","Bajo"))))</f>
        <v/>
      </c>
      <c r="P17" s="9"/>
      <c r="Q17" s="9"/>
      <c r="R17" s="9"/>
      <c r="S17" s="12" t="str">
        <f aca="false">IF(OR(Q17="",R17=""),"",Q17*R17)</f>
        <v/>
      </c>
      <c r="T17" s="13" t="str">
        <f aca="false">IF(S17="","",IF(S17&gt;=Escalas!$A$24,"Crítico",IF(S17&gt;=Escalas!$A$23,"Alto",IF(S17&gt;=Escalas!$A$22,"Medio","Bajo"))))</f>
        <v/>
      </c>
      <c r="U17" s="13" t="str">
        <f aca="false">IF(S17="","",IF(S17&lt;=Escalas!$D$28,"Sí","No — requiere aprobación"))</f>
        <v/>
      </c>
      <c r="V17" s="9"/>
    </row>
    <row r="18" customFormat="false" ht="15" hidden="false" customHeight="false" outlineLevel="0" collapsed="false">
      <c r="A18" s="9"/>
      <c r="B18" s="9"/>
      <c r="C18" s="11" t="str">
        <f aca="false">IF(B18="","",IFERROR(INDEX('Inventario de activos'!$B$5:$B$204,MATCH(B18,'Inventario de activos'!$A$5:$A$204,0)),"ID no encontrado"))</f>
        <v/>
      </c>
      <c r="D18" s="9"/>
      <c r="E18" s="11" t="str">
        <f aca="false">IF(D18="","",IFERROR(INDEX('Catálogo de amenazas'!$B$5:$B$204,MATCH(D18,'Catálogo de amenazas'!$A$5:$A$204,0)),"ID no encontrado"))</f>
        <v/>
      </c>
      <c r="F18" s="9"/>
      <c r="G18" s="11" t="str">
        <f aca="false">IF(F18="","",IFERROR(INDEX('Catálogo de vulnerabilidades'!$B$5:$B$204,MATCH(F18,'Catálogo de vulnerabilidades'!$A$5:$A$204,0)),"ID no encontrado"))</f>
        <v/>
      </c>
      <c r="H18" s="8"/>
      <c r="I18" s="9"/>
      <c r="J18" s="8"/>
      <c r="K18" s="8"/>
      <c r="L18" s="9"/>
      <c r="M18" s="9"/>
      <c r="N18" s="12" t="str">
        <f aca="false">IF(OR(L18="",M18=""),"",L18*M18)</f>
        <v/>
      </c>
      <c r="O18" s="13" t="str">
        <f aca="false">IF(N18="","",IF(N18&gt;=Escalas!$A$24,"Crítico",IF(N18&gt;=Escalas!$A$23,"Alto",IF(N18&gt;=Escalas!$A$22,"Medio","Bajo"))))</f>
        <v/>
      </c>
      <c r="P18" s="9"/>
      <c r="Q18" s="9"/>
      <c r="R18" s="9"/>
      <c r="S18" s="12" t="str">
        <f aca="false">IF(OR(Q18="",R18=""),"",Q18*R18)</f>
        <v/>
      </c>
      <c r="T18" s="13" t="str">
        <f aca="false">IF(S18="","",IF(S18&gt;=Escalas!$A$24,"Crítico",IF(S18&gt;=Escalas!$A$23,"Alto",IF(S18&gt;=Escalas!$A$22,"Medio","Bajo"))))</f>
        <v/>
      </c>
      <c r="U18" s="13" t="str">
        <f aca="false">IF(S18="","",IF(S18&lt;=Escalas!$D$28,"Sí","No — requiere aprobación"))</f>
        <v/>
      </c>
      <c r="V18" s="9"/>
    </row>
    <row r="19" customFormat="false" ht="15" hidden="false" customHeight="false" outlineLevel="0" collapsed="false">
      <c r="A19" s="9"/>
      <c r="B19" s="9"/>
      <c r="C19" s="11" t="str">
        <f aca="false">IF(B19="","",IFERROR(INDEX('Inventario de activos'!$B$5:$B$204,MATCH(B19,'Inventario de activos'!$A$5:$A$204,0)),"ID no encontrado"))</f>
        <v/>
      </c>
      <c r="D19" s="9"/>
      <c r="E19" s="11" t="str">
        <f aca="false">IF(D19="","",IFERROR(INDEX('Catálogo de amenazas'!$B$5:$B$204,MATCH(D19,'Catálogo de amenazas'!$A$5:$A$204,0)),"ID no encontrado"))</f>
        <v/>
      </c>
      <c r="F19" s="9"/>
      <c r="G19" s="11" t="str">
        <f aca="false">IF(F19="","",IFERROR(INDEX('Catálogo de vulnerabilidades'!$B$5:$B$204,MATCH(F19,'Catálogo de vulnerabilidades'!$A$5:$A$204,0)),"ID no encontrado"))</f>
        <v/>
      </c>
      <c r="H19" s="8"/>
      <c r="I19" s="9"/>
      <c r="J19" s="8"/>
      <c r="K19" s="8"/>
      <c r="L19" s="9"/>
      <c r="M19" s="9"/>
      <c r="N19" s="12" t="str">
        <f aca="false">IF(OR(L19="",M19=""),"",L19*M19)</f>
        <v/>
      </c>
      <c r="O19" s="13" t="str">
        <f aca="false">IF(N19="","",IF(N19&gt;=Escalas!$A$24,"Crítico",IF(N19&gt;=Escalas!$A$23,"Alto",IF(N19&gt;=Escalas!$A$22,"Medio","Bajo"))))</f>
        <v/>
      </c>
      <c r="P19" s="9"/>
      <c r="Q19" s="9"/>
      <c r="R19" s="9"/>
      <c r="S19" s="12" t="str">
        <f aca="false">IF(OR(Q19="",R19=""),"",Q19*R19)</f>
        <v/>
      </c>
      <c r="T19" s="13" t="str">
        <f aca="false">IF(S19="","",IF(S19&gt;=Escalas!$A$24,"Crítico",IF(S19&gt;=Escalas!$A$23,"Alto",IF(S19&gt;=Escalas!$A$22,"Medio","Bajo"))))</f>
        <v/>
      </c>
      <c r="U19" s="13" t="str">
        <f aca="false">IF(S19="","",IF(S19&lt;=Escalas!$D$28,"Sí","No — requiere aprobación"))</f>
        <v/>
      </c>
      <c r="V19" s="9"/>
    </row>
    <row r="20" customFormat="false" ht="15" hidden="false" customHeight="false" outlineLevel="0" collapsed="false">
      <c r="A20" s="9"/>
      <c r="B20" s="9"/>
      <c r="C20" s="11" t="str">
        <f aca="false">IF(B20="","",IFERROR(INDEX('Inventario de activos'!$B$5:$B$204,MATCH(B20,'Inventario de activos'!$A$5:$A$204,0)),"ID no encontrado"))</f>
        <v/>
      </c>
      <c r="D20" s="9"/>
      <c r="E20" s="11" t="str">
        <f aca="false">IF(D20="","",IFERROR(INDEX('Catálogo de amenazas'!$B$5:$B$204,MATCH(D20,'Catálogo de amenazas'!$A$5:$A$204,0)),"ID no encontrado"))</f>
        <v/>
      </c>
      <c r="F20" s="9"/>
      <c r="G20" s="11" t="str">
        <f aca="false">IF(F20="","",IFERROR(INDEX('Catálogo de vulnerabilidades'!$B$5:$B$204,MATCH(F20,'Catálogo de vulnerabilidades'!$A$5:$A$204,0)),"ID no encontrado"))</f>
        <v/>
      </c>
      <c r="H20" s="8"/>
      <c r="I20" s="9"/>
      <c r="J20" s="8"/>
      <c r="K20" s="8"/>
      <c r="L20" s="9"/>
      <c r="M20" s="9"/>
      <c r="N20" s="12" t="str">
        <f aca="false">IF(OR(L20="",M20=""),"",L20*M20)</f>
        <v/>
      </c>
      <c r="O20" s="13" t="str">
        <f aca="false">IF(N20="","",IF(N20&gt;=Escalas!$A$24,"Crítico",IF(N20&gt;=Escalas!$A$23,"Alto",IF(N20&gt;=Escalas!$A$22,"Medio","Bajo"))))</f>
        <v/>
      </c>
      <c r="P20" s="9"/>
      <c r="Q20" s="9"/>
      <c r="R20" s="9"/>
      <c r="S20" s="12" t="str">
        <f aca="false">IF(OR(Q20="",R20=""),"",Q20*R20)</f>
        <v/>
      </c>
      <c r="T20" s="13" t="str">
        <f aca="false">IF(S20="","",IF(S20&gt;=Escalas!$A$24,"Crítico",IF(S20&gt;=Escalas!$A$23,"Alto",IF(S20&gt;=Escalas!$A$22,"Medio","Bajo"))))</f>
        <v/>
      </c>
      <c r="U20" s="13" t="str">
        <f aca="false">IF(S20="","",IF(S20&lt;=Escalas!$D$28,"Sí","No — requiere aprobación"))</f>
        <v/>
      </c>
      <c r="V20" s="9"/>
    </row>
    <row r="21" customFormat="false" ht="15" hidden="false" customHeight="false" outlineLevel="0" collapsed="false">
      <c r="A21" s="9"/>
      <c r="B21" s="9"/>
      <c r="C21" s="11" t="str">
        <f aca="false">IF(B21="","",IFERROR(INDEX('Inventario de activos'!$B$5:$B$204,MATCH(B21,'Inventario de activos'!$A$5:$A$204,0)),"ID no encontrado"))</f>
        <v/>
      </c>
      <c r="D21" s="9"/>
      <c r="E21" s="11" t="str">
        <f aca="false">IF(D21="","",IFERROR(INDEX('Catálogo de amenazas'!$B$5:$B$204,MATCH(D21,'Catálogo de amenazas'!$A$5:$A$204,0)),"ID no encontrado"))</f>
        <v/>
      </c>
      <c r="F21" s="9"/>
      <c r="G21" s="11" t="str">
        <f aca="false">IF(F21="","",IFERROR(INDEX('Catálogo de vulnerabilidades'!$B$5:$B$204,MATCH(F21,'Catálogo de vulnerabilidades'!$A$5:$A$204,0)),"ID no encontrado"))</f>
        <v/>
      </c>
      <c r="H21" s="8"/>
      <c r="I21" s="9"/>
      <c r="J21" s="8"/>
      <c r="K21" s="8"/>
      <c r="L21" s="9"/>
      <c r="M21" s="9"/>
      <c r="N21" s="12" t="str">
        <f aca="false">IF(OR(L21="",M21=""),"",L21*M21)</f>
        <v/>
      </c>
      <c r="O21" s="13" t="str">
        <f aca="false">IF(N21="","",IF(N21&gt;=Escalas!$A$24,"Crítico",IF(N21&gt;=Escalas!$A$23,"Alto",IF(N21&gt;=Escalas!$A$22,"Medio","Bajo"))))</f>
        <v/>
      </c>
      <c r="P21" s="9"/>
      <c r="Q21" s="9"/>
      <c r="R21" s="9"/>
      <c r="S21" s="12" t="str">
        <f aca="false">IF(OR(Q21="",R21=""),"",Q21*R21)</f>
        <v/>
      </c>
      <c r="T21" s="13" t="str">
        <f aca="false">IF(S21="","",IF(S21&gt;=Escalas!$A$24,"Crítico",IF(S21&gt;=Escalas!$A$23,"Alto",IF(S21&gt;=Escalas!$A$22,"Medio","Bajo"))))</f>
        <v/>
      </c>
      <c r="U21" s="13" t="str">
        <f aca="false">IF(S21="","",IF(S21&lt;=Escalas!$D$28,"Sí","No — requiere aprobación"))</f>
        <v/>
      </c>
      <c r="V21" s="9"/>
    </row>
    <row r="22" customFormat="false" ht="15" hidden="false" customHeight="false" outlineLevel="0" collapsed="false">
      <c r="A22" s="9"/>
      <c r="B22" s="9"/>
      <c r="C22" s="11" t="str">
        <f aca="false">IF(B22="","",IFERROR(INDEX('Inventario de activos'!$B$5:$B$204,MATCH(B22,'Inventario de activos'!$A$5:$A$204,0)),"ID no encontrado"))</f>
        <v/>
      </c>
      <c r="D22" s="9"/>
      <c r="E22" s="11" t="str">
        <f aca="false">IF(D22="","",IFERROR(INDEX('Catálogo de amenazas'!$B$5:$B$204,MATCH(D22,'Catálogo de amenazas'!$A$5:$A$204,0)),"ID no encontrado"))</f>
        <v/>
      </c>
      <c r="F22" s="9"/>
      <c r="G22" s="11" t="str">
        <f aca="false">IF(F22="","",IFERROR(INDEX('Catálogo de vulnerabilidades'!$B$5:$B$204,MATCH(F22,'Catálogo de vulnerabilidades'!$A$5:$A$204,0)),"ID no encontrado"))</f>
        <v/>
      </c>
      <c r="H22" s="8"/>
      <c r="I22" s="9"/>
      <c r="J22" s="8"/>
      <c r="K22" s="8"/>
      <c r="L22" s="9"/>
      <c r="M22" s="9"/>
      <c r="N22" s="12" t="str">
        <f aca="false">IF(OR(L22="",M22=""),"",L22*M22)</f>
        <v/>
      </c>
      <c r="O22" s="13" t="str">
        <f aca="false">IF(N22="","",IF(N22&gt;=Escalas!$A$24,"Crítico",IF(N22&gt;=Escalas!$A$23,"Alto",IF(N22&gt;=Escalas!$A$22,"Medio","Bajo"))))</f>
        <v/>
      </c>
      <c r="P22" s="9"/>
      <c r="Q22" s="9"/>
      <c r="R22" s="9"/>
      <c r="S22" s="12" t="str">
        <f aca="false">IF(OR(Q22="",R22=""),"",Q22*R22)</f>
        <v/>
      </c>
      <c r="T22" s="13" t="str">
        <f aca="false">IF(S22="","",IF(S22&gt;=Escalas!$A$24,"Crítico",IF(S22&gt;=Escalas!$A$23,"Alto",IF(S22&gt;=Escalas!$A$22,"Medio","Bajo"))))</f>
        <v/>
      </c>
      <c r="U22" s="13" t="str">
        <f aca="false">IF(S22="","",IF(S22&lt;=Escalas!$D$28,"Sí","No — requiere aprobación"))</f>
        <v/>
      </c>
      <c r="V22" s="9"/>
    </row>
    <row r="23" customFormat="false" ht="15" hidden="false" customHeight="false" outlineLevel="0" collapsed="false">
      <c r="A23" s="9"/>
      <c r="B23" s="9"/>
      <c r="C23" s="11" t="str">
        <f aca="false">IF(B23="","",IFERROR(INDEX('Inventario de activos'!$B$5:$B$204,MATCH(B23,'Inventario de activos'!$A$5:$A$204,0)),"ID no encontrado"))</f>
        <v/>
      </c>
      <c r="D23" s="9"/>
      <c r="E23" s="11" t="str">
        <f aca="false">IF(D23="","",IFERROR(INDEX('Catálogo de amenazas'!$B$5:$B$204,MATCH(D23,'Catálogo de amenazas'!$A$5:$A$204,0)),"ID no encontrado"))</f>
        <v/>
      </c>
      <c r="F23" s="9"/>
      <c r="G23" s="11" t="str">
        <f aca="false">IF(F23="","",IFERROR(INDEX('Catálogo de vulnerabilidades'!$B$5:$B$204,MATCH(F23,'Catálogo de vulnerabilidades'!$A$5:$A$204,0)),"ID no encontrado"))</f>
        <v/>
      </c>
      <c r="H23" s="8"/>
      <c r="I23" s="9"/>
      <c r="J23" s="8"/>
      <c r="K23" s="8"/>
      <c r="L23" s="9"/>
      <c r="M23" s="9"/>
      <c r="N23" s="12" t="str">
        <f aca="false">IF(OR(L23="",M23=""),"",L23*M23)</f>
        <v/>
      </c>
      <c r="O23" s="13" t="str">
        <f aca="false">IF(N23="","",IF(N23&gt;=Escalas!$A$24,"Crítico",IF(N23&gt;=Escalas!$A$23,"Alto",IF(N23&gt;=Escalas!$A$22,"Medio","Bajo"))))</f>
        <v/>
      </c>
      <c r="P23" s="9"/>
      <c r="Q23" s="9"/>
      <c r="R23" s="9"/>
      <c r="S23" s="12" t="str">
        <f aca="false">IF(OR(Q23="",R23=""),"",Q23*R23)</f>
        <v/>
      </c>
      <c r="T23" s="13" t="str">
        <f aca="false">IF(S23="","",IF(S23&gt;=Escalas!$A$24,"Crítico",IF(S23&gt;=Escalas!$A$23,"Alto",IF(S23&gt;=Escalas!$A$22,"Medio","Bajo"))))</f>
        <v/>
      </c>
      <c r="U23" s="13" t="str">
        <f aca="false">IF(S23="","",IF(S23&lt;=Escalas!$D$28,"Sí","No — requiere aprobación"))</f>
        <v/>
      </c>
      <c r="V23" s="9"/>
    </row>
    <row r="24" customFormat="false" ht="15" hidden="false" customHeight="false" outlineLevel="0" collapsed="false">
      <c r="A24" s="9"/>
      <c r="B24" s="9"/>
      <c r="C24" s="11" t="str">
        <f aca="false">IF(B24="","",IFERROR(INDEX('Inventario de activos'!$B$5:$B$204,MATCH(B24,'Inventario de activos'!$A$5:$A$204,0)),"ID no encontrado"))</f>
        <v/>
      </c>
      <c r="D24" s="9"/>
      <c r="E24" s="11" t="str">
        <f aca="false">IF(D24="","",IFERROR(INDEX('Catálogo de amenazas'!$B$5:$B$204,MATCH(D24,'Catálogo de amenazas'!$A$5:$A$204,0)),"ID no encontrado"))</f>
        <v/>
      </c>
      <c r="F24" s="9"/>
      <c r="G24" s="11" t="str">
        <f aca="false">IF(F24="","",IFERROR(INDEX('Catálogo de vulnerabilidades'!$B$5:$B$204,MATCH(F24,'Catálogo de vulnerabilidades'!$A$5:$A$204,0)),"ID no encontrado"))</f>
        <v/>
      </c>
      <c r="H24" s="8"/>
      <c r="I24" s="9"/>
      <c r="J24" s="8"/>
      <c r="K24" s="8"/>
      <c r="L24" s="9"/>
      <c r="M24" s="9"/>
      <c r="N24" s="12" t="str">
        <f aca="false">IF(OR(L24="",M24=""),"",L24*M24)</f>
        <v/>
      </c>
      <c r="O24" s="13" t="str">
        <f aca="false">IF(N24="","",IF(N24&gt;=Escalas!$A$24,"Crítico",IF(N24&gt;=Escalas!$A$23,"Alto",IF(N24&gt;=Escalas!$A$22,"Medio","Bajo"))))</f>
        <v/>
      </c>
      <c r="P24" s="9"/>
      <c r="Q24" s="9"/>
      <c r="R24" s="9"/>
      <c r="S24" s="12" t="str">
        <f aca="false">IF(OR(Q24="",R24=""),"",Q24*R24)</f>
        <v/>
      </c>
      <c r="T24" s="13" t="str">
        <f aca="false">IF(S24="","",IF(S24&gt;=Escalas!$A$24,"Crítico",IF(S24&gt;=Escalas!$A$23,"Alto",IF(S24&gt;=Escalas!$A$22,"Medio","Bajo"))))</f>
        <v/>
      </c>
      <c r="U24" s="13" t="str">
        <f aca="false">IF(S24="","",IF(S24&lt;=Escalas!$D$28,"Sí","No — requiere aprobación"))</f>
        <v/>
      </c>
      <c r="V24" s="9"/>
    </row>
    <row r="25" customFormat="false" ht="15" hidden="false" customHeight="false" outlineLevel="0" collapsed="false">
      <c r="A25" s="9"/>
      <c r="B25" s="9"/>
      <c r="C25" s="11" t="str">
        <f aca="false">IF(B25="","",IFERROR(INDEX('Inventario de activos'!$B$5:$B$204,MATCH(B25,'Inventario de activos'!$A$5:$A$204,0)),"ID no encontrado"))</f>
        <v/>
      </c>
      <c r="D25" s="9"/>
      <c r="E25" s="11" t="str">
        <f aca="false">IF(D25="","",IFERROR(INDEX('Catálogo de amenazas'!$B$5:$B$204,MATCH(D25,'Catálogo de amenazas'!$A$5:$A$204,0)),"ID no encontrado"))</f>
        <v/>
      </c>
      <c r="F25" s="9"/>
      <c r="G25" s="11" t="str">
        <f aca="false">IF(F25="","",IFERROR(INDEX('Catálogo de vulnerabilidades'!$B$5:$B$204,MATCH(F25,'Catálogo de vulnerabilidades'!$A$5:$A$204,0)),"ID no encontrado"))</f>
        <v/>
      </c>
      <c r="H25" s="8"/>
      <c r="I25" s="9"/>
      <c r="J25" s="8"/>
      <c r="K25" s="8"/>
      <c r="L25" s="9"/>
      <c r="M25" s="9"/>
      <c r="N25" s="12" t="str">
        <f aca="false">IF(OR(L25="",M25=""),"",L25*M25)</f>
        <v/>
      </c>
      <c r="O25" s="13" t="str">
        <f aca="false">IF(N25="","",IF(N25&gt;=Escalas!$A$24,"Crítico",IF(N25&gt;=Escalas!$A$23,"Alto",IF(N25&gt;=Escalas!$A$22,"Medio","Bajo"))))</f>
        <v/>
      </c>
      <c r="P25" s="9"/>
      <c r="Q25" s="9"/>
      <c r="R25" s="9"/>
      <c r="S25" s="12" t="str">
        <f aca="false">IF(OR(Q25="",R25=""),"",Q25*R25)</f>
        <v/>
      </c>
      <c r="T25" s="13" t="str">
        <f aca="false">IF(S25="","",IF(S25&gt;=Escalas!$A$24,"Crítico",IF(S25&gt;=Escalas!$A$23,"Alto",IF(S25&gt;=Escalas!$A$22,"Medio","Bajo"))))</f>
        <v/>
      </c>
      <c r="U25" s="13" t="str">
        <f aca="false">IF(S25="","",IF(S25&lt;=Escalas!$D$28,"Sí","No — requiere aprobación"))</f>
        <v/>
      </c>
      <c r="V25" s="9"/>
    </row>
    <row r="26" customFormat="false" ht="15" hidden="false" customHeight="false" outlineLevel="0" collapsed="false">
      <c r="A26" s="9"/>
      <c r="B26" s="9"/>
      <c r="C26" s="11" t="str">
        <f aca="false">IF(B26="","",IFERROR(INDEX('Inventario de activos'!$B$5:$B$204,MATCH(B26,'Inventario de activos'!$A$5:$A$204,0)),"ID no encontrado"))</f>
        <v/>
      </c>
      <c r="D26" s="9"/>
      <c r="E26" s="11" t="str">
        <f aca="false">IF(D26="","",IFERROR(INDEX('Catálogo de amenazas'!$B$5:$B$204,MATCH(D26,'Catálogo de amenazas'!$A$5:$A$204,0)),"ID no encontrado"))</f>
        <v/>
      </c>
      <c r="F26" s="9"/>
      <c r="G26" s="11" t="str">
        <f aca="false">IF(F26="","",IFERROR(INDEX('Catálogo de vulnerabilidades'!$B$5:$B$204,MATCH(F26,'Catálogo de vulnerabilidades'!$A$5:$A$204,0)),"ID no encontrado"))</f>
        <v/>
      </c>
      <c r="H26" s="8"/>
      <c r="I26" s="9"/>
      <c r="J26" s="8"/>
      <c r="K26" s="8"/>
      <c r="L26" s="9"/>
      <c r="M26" s="9"/>
      <c r="N26" s="12" t="str">
        <f aca="false">IF(OR(L26="",M26=""),"",L26*M26)</f>
        <v/>
      </c>
      <c r="O26" s="13" t="str">
        <f aca="false">IF(N26="","",IF(N26&gt;=Escalas!$A$24,"Crítico",IF(N26&gt;=Escalas!$A$23,"Alto",IF(N26&gt;=Escalas!$A$22,"Medio","Bajo"))))</f>
        <v/>
      </c>
      <c r="P26" s="9"/>
      <c r="Q26" s="9"/>
      <c r="R26" s="9"/>
      <c r="S26" s="12" t="str">
        <f aca="false">IF(OR(Q26="",R26=""),"",Q26*R26)</f>
        <v/>
      </c>
      <c r="T26" s="13" t="str">
        <f aca="false">IF(S26="","",IF(S26&gt;=Escalas!$A$24,"Crítico",IF(S26&gt;=Escalas!$A$23,"Alto",IF(S26&gt;=Escalas!$A$22,"Medio","Bajo"))))</f>
        <v/>
      </c>
      <c r="U26" s="13" t="str">
        <f aca="false">IF(S26="","",IF(S26&lt;=Escalas!$D$28,"Sí","No — requiere aprobación"))</f>
        <v/>
      </c>
      <c r="V26" s="9"/>
    </row>
    <row r="27" customFormat="false" ht="15" hidden="false" customHeight="false" outlineLevel="0" collapsed="false">
      <c r="A27" s="9"/>
      <c r="B27" s="9"/>
      <c r="C27" s="11" t="str">
        <f aca="false">IF(B27="","",IFERROR(INDEX('Inventario de activos'!$B$5:$B$204,MATCH(B27,'Inventario de activos'!$A$5:$A$204,0)),"ID no encontrado"))</f>
        <v/>
      </c>
      <c r="D27" s="9"/>
      <c r="E27" s="11" t="str">
        <f aca="false">IF(D27="","",IFERROR(INDEX('Catálogo de amenazas'!$B$5:$B$204,MATCH(D27,'Catálogo de amenazas'!$A$5:$A$204,0)),"ID no encontrado"))</f>
        <v/>
      </c>
      <c r="F27" s="9"/>
      <c r="G27" s="11" t="str">
        <f aca="false">IF(F27="","",IFERROR(INDEX('Catálogo de vulnerabilidades'!$B$5:$B$204,MATCH(F27,'Catálogo de vulnerabilidades'!$A$5:$A$204,0)),"ID no encontrado"))</f>
        <v/>
      </c>
      <c r="H27" s="8"/>
      <c r="I27" s="9"/>
      <c r="J27" s="8"/>
      <c r="K27" s="8"/>
      <c r="L27" s="9"/>
      <c r="M27" s="9"/>
      <c r="N27" s="12" t="str">
        <f aca="false">IF(OR(L27="",M27=""),"",L27*M27)</f>
        <v/>
      </c>
      <c r="O27" s="13" t="str">
        <f aca="false">IF(N27="","",IF(N27&gt;=Escalas!$A$24,"Crítico",IF(N27&gt;=Escalas!$A$23,"Alto",IF(N27&gt;=Escalas!$A$22,"Medio","Bajo"))))</f>
        <v/>
      </c>
      <c r="P27" s="9"/>
      <c r="Q27" s="9"/>
      <c r="R27" s="9"/>
      <c r="S27" s="12" t="str">
        <f aca="false">IF(OR(Q27="",R27=""),"",Q27*R27)</f>
        <v/>
      </c>
      <c r="T27" s="13" t="str">
        <f aca="false">IF(S27="","",IF(S27&gt;=Escalas!$A$24,"Crítico",IF(S27&gt;=Escalas!$A$23,"Alto",IF(S27&gt;=Escalas!$A$22,"Medio","Bajo"))))</f>
        <v/>
      </c>
      <c r="U27" s="13" t="str">
        <f aca="false">IF(S27="","",IF(S27&lt;=Escalas!$D$28,"Sí","No — requiere aprobación"))</f>
        <v/>
      </c>
      <c r="V27" s="9"/>
    </row>
    <row r="28" customFormat="false" ht="15" hidden="false" customHeight="false" outlineLevel="0" collapsed="false">
      <c r="A28" s="9"/>
      <c r="B28" s="9"/>
      <c r="C28" s="11" t="str">
        <f aca="false">IF(B28="","",IFERROR(INDEX('Inventario de activos'!$B$5:$B$204,MATCH(B28,'Inventario de activos'!$A$5:$A$204,0)),"ID no encontrado"))</f>
        <v/>
      </c>
      <c r="D28" s="9"/>
      <c r="E28" s="11" t="str">
        <f aca="false">IF(D28="","",IFERROR(INDEX('Catálogo de amenazas'!$B$5:$B$204,MATCH(D28,'Catálogo de amenazas'!$A$5:$A$204,0)),"ID no encontrado"))</f>
        <v/>
      </c>
      <c r="F28" s="9"/>
      <c r="G28" s="11" t="str">
        <f aca="false">IF(F28="","",IFERROR(INDEX('Catálogo de vulnerabilidades'!$B$5:$B$204,MATCH(F28,'Catálogo de vulnerabilidades'!$A$5:$A$204,0)),"ID no encontrado"))</f>
        <v/>
      </c>
      <c r="H28" s="8"/>
      <c r="I28" s="9"/>
      <c r="J28" s="8"/>
      <c r="K28" s="8"/>
      <c r="L28" s="9"/>
      <c r="M28" s="9"/>
      <c r="N28" s="12" t="str">
        <f aca="false">IF(OR(L28="",M28=""),"",L28*M28)</f>
        <v/>
      </c>
      <c r="O28" s="13" t="str">
        <f aca="false">IF(N28="","",IF(N28&gt;=Escalas!$A$24,"Crítico",IF(N28&gt;=Escalas!$A$23,"Alto",IF(N28&gt;=Escalas!$A$22,"Medio","Bajo"))))</f>
        <v/>
      </c>
      <c r="P28" s="9"/>
      <c r="Q28" s="9"/>
      <c r="R28" s="9"/>
      <c r="S28" s="12" t="str">
        <f aca="false">IF(OR(Q28="",R28=""),"",Q28*R28)</f>
        <v/>
      </c>
      <c r="T28" s="13" t="str">
        <f aca="false">IF(S28="","",IF(S28&gt;=Escalas!$A$24,"Crítico",IF(S28&gt;=Escalas!$A$23,"Alto",IF(S28&gt;=Escalas!$A$22,"Medio","Bajo"))))</f>
        <v/>
      </c>
      <c r="U28" s="13" t="str">
        <f aca="false">IF(S28="","",IF(S28&lt;=Escalas!$D$28,"Sí","No — requiere aprobación"))</f>
        <v/>
      </c>
      <c r="V28" s="9"/>
    </row>
    <row r="29" customFormat="false" ht="15" hidden="false" customHeight="false" outlineLevel="0" collapsed="false">
      <c r="A29" s="9"/>
      <c r="B29" s="9"/>
      <c r="C29" s="11" t="str">
        <f aca="false">IF(B29="","",IFERROR(INDEX('Inventario de activos'!$B$5:$B$204,MATCH(B29,'Inventario de activos'!$A$5:$A$204,0)),"ID no encontrado"))</f>
        <v/>
      </c>
      <c r="D29" s="9"/>
      <c r="E29" s="11" t="str">
        <f aca="false">IF(D29="","",IFERROR(INDEX('Catálogo de amenazas'!$B$5:$B$204,MATCH(D29,'Catálogo de amenazas'!$A$5:$A$204,0)),"ID no encontrado"))</f>
        <v/>
      </c>
      <c r="F29" s="9"/>
      <c r="G29" s="11" t="str">
        <f aca="false">IF(F29="","",IFERROR(INDEX('Catálogo de vulnerabilidades'!$B$5:$B$204,MATCH(F29,'Catálogo de vulnerabilidades'!$A$5:$A$204,0)),"ID no encontrado"))</f>
        <v/>
      </c>
      <c r="H29" s="8"/>
      <c r="I29" s="9"/>
      <c r="J29" s="8"/>
      <c r="K29" s="8"/>
      <c r="L29" s="9"/>
      <c r="M29" s="9"/>
      <c r="N29" s="12" t="str">
        <f aca="false">IF(OR(L29="",M29=""),"",L29*M29)</f>
        <v/>
      </c>
      <c r="O29" s="13" t="str">
        <f aca="false">IF(N29="","",IF(N29&gt;=Escalas!$A$24,"Crítico",IF(N29&gt;=Escalas!$A$23,"Alto",IF(N29&gt;=Escalas!$A$22,"Medio","Bajo"))))</f>
        <v/>
      </c>
      <c r="P29" s="9"/>
      <c r="Q29" s="9"/>
      <c r="R29" s="9"/>
      <c r="S29" s="12" t="str">
        <f aca="false">IF(OR(Q29="",R29=""),"",Q29*R29)</f>
        <v/>
      </c>
      <c r="T29" s="13" t="str">
        <f aca="false">IF(S29="","",IF(S29&gt;=Escalas!$A$24,"Crítico",IF(S29&gt;=Escalas!$A$23,"Alto",IF(S29&gt;=Escalas!$A$22,"Medio","Bajo"))))</f>
        <v/>
      </c>
      <c r="U29" s="13" t="str">
        <f aca="false">IF(S29="","",IF(S29&lt;=Escalas!$D$28,"Sí","No — requiere aprobación"))</f>
        <v/>
      </c>
      <c r="V29" s="9"/>
    </row>
    <row r="30" customFormat="false" ht="15" hidden="false" customHeight="false" outlineLevel="0" collapsed="false">
      <c r="A30" s="9"/>
      <c r="B30" s="9"/>
      <c r="C30" s="11" t="str">
        <f aca="false">IF(B30="","",IFERROR(INDEX('Inventario de activos'!$B$5:$B$204,MATCH(B30,'Inventario de activos'!$A$5:$A$204,0)),"ID no encontrado"))</f>
        <v/>
      </c>
      <c r="D30" s="9"/>
      <c r="E30" s="11" t="str">
        <f aca="false">IF(D30="","",IFERROR(INDEX('Catálogo de amenazas'!$B$5:$B$204,MATCH(D30,'Catálogo de amenazas'!$A$5:$A$204,0)),"ID no encontrado"))</f>
        <v/>
      </c>
      <c r="F30" s="9"/>
      <c r="G30" s="11" t="str">
        <f aca="false">IF(F30="","",IFERROR(INDEX('Catálogo de vulnerabilidades'!$B$5:$B$204,MATCH(F30,'Catálogo de vulnerabilidades'!$A$5:$A$204,0)),"ID no encontrado"))</f>
        <v/>
      </c>
      <c r="H30" s="8"/>
      <c r="I30" s="9"/>
      <c r="J30" s="8"/>
      <c r="K30" s="8"/>
      <c r="L30" s="9"/>
      <c r="M30" s="9"/>
      <c r="N30" s="12" t="str">
        <f aca="false">IF(OR(L30="",M30=""),"",L30*M30)</f>
        <v/>
      </c>
      <c r="O30" s="13" t="str">
        <f aca="false">IF(N30="","",IF(N30&gt;=Escalas!$A$24,"Crítico",IF(N30&gt;=Escalas!$A$23,"Alto",IF(N30&gt;=Escalas!$A$22,"Medio","Bajo"))))</f>
        <v/>
      </c>
      <c r="P30" s="9"/>
      <c r="Q30" s="9"/>
      <c r="R30" s="9"/>
      <c r="S30" s="12" t="str">
        <f aca="false">IF(OR(Q30="",R30=""),"",Q30*R30)</f>
        <v/>
      </c>
      <c r="T30" s="13" t="str">
        <f aca="false">IF(S30="","",IF(S30&gt;=Escalas!$A$24,"Crítico",IF(S30&gt;=Escalas!$A$23,"Alto",IF(S30&gt;=Escalas!$A$22,"Medio","Bajo"))))</f>
        <v/>
      </c>
      <c r="U30" s="13" t="str">
        <f aca="false">IF(S30="","",IF(S30&lt;=Escalas!$D$28,"Sí","No — requiere aprobación"))</f>
        <v/>
      </c>
      <c r="V30" s="9"/>
    </row>
    <row r="31" customFormat="false" ht="15" hidden="false" customHeight="false" outlineLevel="0" collapsed="false">
      <c r="A31" s="9"/>
      <c r="B31" s="9"/>
      <c r="C31" s="11" t="str">
        <f aca="false">IF(B31="","",IFERROR(INDEX('Inventario de activos'!$B$5:$B$204,MATCH(B31,'Inventario de activos'!$A$5:$A$204,0)),"ID no encontrado"))</f>
        <v/>
      </c>
      <c r="D31" s="9"/>
      <c r="E31" s="11" t="str">
        <f aca="false">IF(D31="","",IFERROR(INDEX('Catálogo de amenazas'!$B$5:$B$204,MATCH(D31,'Catálogo de amenazas'!$A$5:$A$204,0)),"ID no encontrado"))</f>
        <v/>
      </c>
      <c r="F31" s="9"/>
      <c r="G31" s="11" t="str">
        <f aca="false">IF(F31="","",IFERROR(INDEX('Catálogo de vulnerabilidades'!$B$5:$B$204,MATCH(F31,'Catálogo de vulnerabilidades'!$A$5:$A$204,0)),"ID no encontrado"))</f>
        <v/>
      </c>
      <c r="H31" s="8"/>
      <c r="I31" s="9"/>
      <c r="J31" s="8"/>
      <c r="K31" s="8"/>
      <c r="L31" s="9"/>
      <c r="M31" s="9"/>
      <c r="N31" s="12" t="str">
        <f aca="false">IF(OR(L31="",M31=""),"",L31*M31)</f>
        <v/>
      </c>
      <c r="O31" s="13" t="str">
        <f aca="false">IF(N31="","",IF(N31&gt;=Escalas!$A$24,"Crítico",IF(N31&gt;=Escalas!$A$23,"Alto",IF(N31&gt;=Escalas!$A$22,"Medio","Bajo"))))</f>
        <v/>
      </c>
      <c r="P31" s="9"/>
      <c r="Q31" s="9"/>
      <c r="R31" s="9"/>
      <c r="S31" s="12" t="str">
        <f aca="false">IF(OR(Q31="",R31=""),"",Q31*R31)</f>
        <v/>
      </c>
      <c r="T31" s="13" t="str">
        <f aca="false">IF(S31="","",IF(S31&gt;=Escalas!$A$24,"Crítico",IF(S31&gt;=Escalas!$A$23,"Alto",IF(S31&gt;=Escalas!$A$22,"Medio","Bajo"))))</f>
        <v/>
      </c>
      <c r="U31" s="13" t="str">
        <f aca="false">IF(S31="","",IF(S31&lt;=Escalas!$D$28,"Sí","No — requiere aprobación"))</f>
        <v/>
      </c>
      <c r="V31" s="9"/>
    </row>
    <row r="32" customFormat="false" ht="15" hidden="false" customHeight="false" outlineLevel="0" collapsed="false">
      <c r="A32" s="9"/>
      <c r="B32" s="9"/>
      <c r="C32" s="11" t="str">
        <f aca="false">IF(B32="","",IFERROR(INDEX('Inventario de activos'!$B$5:$B$204,MATCH(B32,'Inventario de activos'!$A$5:$A$204,0)),"ID no encontrado"))</f>
        <v/>
      </c>
      <c r="D32" s="9"/>
      <c r="E32" s="11" t="str">
        <f aca="false">IF(D32="","",IFERROR(INDEX('Catálogo de amenazas'!$B$5:$B$204,MATCH(D32,'Catálogo de amenazas'!$A$5:$A$204,0)),"ID no encontrado"))</f>
        <v/>
      </c>
      <c r="F32" s="9"/>
      <c r="G32" s="11" t="str">
        <f aca="false">IF(F32="","",IFERROR(INDEX('Catálogo de vulnerabilidades'!$B$5:$B$204,MATCH(F32,'Catálogo de vulnerabilidades'!$A$5:$A$204,0)),"ID no encontrado"))</f>
        <v/>
      </c>
      <c r="H32" s="8"/>
      <c r="I32" s="9"/>
      <c r="J32" s="8"/>
      <c r="K32" s="8"/>
      <c r="L32" s="9"/>
      <c r="M32" s="9"/>
      <c r="N32" s="12" t="str">
        <f aca="false">IF(OR(L32="",M32=""),"",L32*M32)</f>
        <v/>
      </c>
      <c r="O32" s="13" t="str">
        <f aca="false">IF(N32="","",IF(N32&gt;=Escalas!$A$24,"Crítico",IF(N32&gt;=Escalas!$A$23,"Alto",IF(N32&gt;=Escalas!$A$22,"Medio","Bajo"))))</f>
        <v/>
      </c>
      <c r="P32" s="9"/>
      <c r="Q32" s="9"/>
      <c r="R32" s="9"/>
      <c r="S32" s="12" t="str">
        <f aca="false">IF(OR(Q32="",R32=""),"",Q32*R32)</f>
        <v/>
      </c>
      <c r="T32" s="13" t="str">
        <f aca="false">IF(S32="","",IF(S32&gt;=Escalas!$A$24,"Crítico",IF(S32&gt;=Escalas!$A$23,"Alto",IF(S32&gt;=Escalas!$A$22,"Medio","Bajo"))))</f>
        <v/>
      </c>
      <c r="U32" s="13" t="str">
        <f aca="false">IF(S32="","",IF(S32&lt;=Escalas!$D$28,"Sí","No — requiere aprobación"))</f>
        <v/>
      </c>
      <c r="V32" s="9"/>
    </row>
    <row r="33" customFormat="false" ht="15" hidden="false" customHeight="false" outlineLevel="0" collapsed="false">
      <c r="A33" s="9"/>
      <c r="B33" s="9"/>
      <c r="C33" s="11" t="str">
        <f aca="false">IF(B33="","",IFERROR(INDEX('Inventario de activos'!$B$5:$B$204,MATCH(B33,'Inventario de activos'!$A$5:$A$204,0)),"ID no encontrado"))</f>
        <v/>
      </c>
      <c r="D33" s="9"/>
      <c r="E33" s="11" t="str">
        <f aca="false">IF(D33="","",IFERROR(INDEX('Catálogo de amenazas'!$B$5:$B$204,MATCH(D33,'Catálogo de amenazas'!$A$5:$A$204,0)),"ID no encontrado"))</f>
        <v/>
      </c>
      <c r="F33" s="9"/>
      <c r="G33" s="11" t="str">
        <f aca="false">IF(F33="","",IFERROR(INDEX('Catálogo de vulnerabilidades'!$B$5:$B$204,MATCH(F33,'Catálogo de vulnerabilidades'!$A$5:$A$204,0)),"ID no encontrado"))</f>
        <v/>
      </c>
      <c r="H33" s="8"/>
      <c r="I33" s="9"/>
      <c r="J33" s="8"/>
      <c r="K33" s="8"/>
      <c r="L33" s="9"/>
      <c r="M33" s="9"/>
      <c r="N33" s="12" t="str">
        <f aca="false">IF(OR(L33="",M33=""),"",L33*M33)</f>
        <v/>
      </c>
      <c r="O33" s="13" t="str">
        <f aca="false">IF(N33="","",IF(N33&gt;=Escalas!$A$24,"Crítico",IF(N33&gt;=Escalas!$A$23,"Alto",IF(N33&gt;=Escalas!$A$22,"Medio","Bajo"))))</f>
        <v/>
      </c>
      <c r="P33" s="9"/>
      <c r="Q33" s="9"/>
      <c r="R33" s="9"/>
      <c r="S33" s="12" t="str">
        <f aca="false">IF(OR(Q33="",R33=""),"",Q33*R33)</f>
        <v/>
      </c>
      <c r="T33" s="13" t="str">
        <f aca="false">IF(S33="","",IF(S33&gt;=Escalas!$A$24,"Crítico",IF(S33&gt;=Escalas!$A$23,"Alto",IF(S33&gt;=Escalas!$A$22,"Medio","Bajo"))))</f>
        <v/>
      </c>
      <c r="U33" s="13" t="str">
        <f aca="false">IF(S33="","",IF(S33&lt;=Escalas!$D$28,"Sí","No — requiere aprobación"))</f>
        <v/>
      </c>
      <c r="V33" s="9"/>
    </row>
    <row r="34" customFormat="false" ht="15" hidden="false" customHeight="false" outlineLevel="0" collapsed="false">
      <c r="A34" s="9"/>
      <c r="B34" s="9"/>
      <c r="C34" s="11" t="str">
        <f aca="false">IF(B34="","",IFERROR(INDEX('Inventario de activos'!$B$5:$B$204,MATCH(B34,'Inventario de activos'!$A$5:$A$204,0)),"ID no encontrado"))</f>
        <v/>
      </c>
      <c r="D34" s="9"/>
      <c r="E34" s="11" t="str">
        <f aca="false">IF(D34="","",IFERROR(INDEX('Catálogo de amenazas'!$B$5:$B$204,MATCH(D34,'Catálogo de amenazas'!$A$5:$A$204,0)),"ID no encontrado"))</f>
        <v/>
      </c>
      <c r="F34" s="9"/>
      <c r="G34" s="11" t="str">
        <f aca="false">IF(F34="","",IFERROR(INDEX('Catálogo de vulnerabilidades'!$B$5:$B$204,MATCH(F34,'Catálogo de vulnerabilidades'!$A$5:$A$204,0)),"ID no encontrado"))</f>
        <v/>
      </c>
      <c r="H34" s="8"/>
      <c r="I34" s="9"/>
      <c r="J34" s="8"/>
      <c r="K34" s="8"/>
      <c r="L34" s="9"/>
      <c r="M34" s="9"/>
      <c r="N34" s="12" t="str">
        <f aca="false">IF(OR(L34="",M34=""),"",L34*M34)</f>
        <v/>
      </c>
      <c r="O34" s="13" t="str">
        <f aca="false">IF(N34="","",IF(N34&gt;=Escalas!$A$24,"Crítico",IF(N34&gt;=Escalas!$A$23,"Alto",IF(N34&gt;=Escalas!$A$22,"Medio","Bajo"))))</f>
        <v/>
      </c>
      <c r="P34" s="9"/>
      <c r="Q34" s="9"/>
      <c r="R34" s="9"/>
      <c r="S34" s="12" t="str">
        <f aca="false">IF(OR(Q34="",R34=""),"",Q34*R34)</f>
        <v/>
      </c>
      <c r="T34" s="13" t="str">
        <f aca="false">IF(S34="","",IF(S34&gt;=Escalas!$A$24,"Crítico",IF(S34&gt;=Escalas!$A$23,"Alto",IF(S34&gt;=Escalas!$A$22,"Medio","Bajo"))))</f>
        <v/>
      </c>
      <c r="U34" s="13" t="str">
        <f aca="false">IF(S34="","",IF(S34&lt;=Escalas!$D$28,"Sí","No — requiere aprobación"))</f>
        <v/>
      </c>
      <c r="V34" s="9"/>
    </row>
    <row r="35" customFormat="false" ht="15" hidden="false" customHeight="false" outlineLevel="0" collapsed="false">
      <c r="A35" s="9"/>
      <c r="B35" s="9"/>
      <c r="C35" s="11" t="str">
        <f aca="false">IF(B35="","",IFERROR(INDEX('Inventario de activos'!$B$5:$B$204,MATCH(B35,'Inventario de activos'!$A$5:$A$204,0)),"ID no encontrado"))</f>
        <v/>
      </c>
      <c r="D35" s="9"/>
      <c r="E35" s="11" t="str">
        <f aca="false">IF(D35="","",IFERROR(INDEX('Catálogo de amenazas'!$B$5:$B$204,MATCH(D35,'Catálogo de amenazas'!$A$5:$A$204,0)),"ID no encontrado"))</f>
        <v/>
      </c>
      <c r="F35" s="9"/>
      <c r="G35" s="11" t="str">
        <f aca="false">IF(F35="","",IFERROR(INDEX('Catálogo de vulnerabilidades'!$B$5:$B$204,MATCH(F35,'Catálogo de vulnerabilidades'!$A$5:$A$204,0)),"ID no encontrado"))</f>
        <v/>
      </c>
      <c r="H35" s="8"/>
      <c r="I35" s="9"/>
      <c r="J35" s="8"/>
      <c r="K35" s="8"/>
      <c r="L35" s="9"/>
      <c r="M35" s="9"/>
      <c r="N35" s="12" t="str">
        <f aca="false">IF(OR(L35="",M35=""),"",L35*M35)</f>
        <v/>
      </c>
      <c r="O35" s="13" t="str">
        <f aca="false">IF(N35="","",IF(N35&gt;=Escalas!$A$24,"Crítico",IF(N35&gt;=Escalas!$A$23,"Alto",IF(N35&gt;=Escalas!$A$22,"Medio","Bajo"))))</f>
        <v/>
      </c>
      <c r="P35" s="9"/>
      <c r="Q35" s="9"/>
      <c r="R35" s="9"/>
      <c r="S35" s="12" t="str">
        <f aca="false">IF(OR(Q35="",R35=""),"",Q35*R35)</f>
        <v/>
      </c>
      <c r="T35" s="13" t="str">
        <f aca="false">IF(S35="","",IF(S35&gt;=Escalas!$A$24,"Crítico",IF(S35&gt;=Escalas!$A$23,"Alto",IF(S35&gt;=Escalas!$A$22,"Medio","Bajo"))))</f>
        <v/>
      </c>
      <c r="U35" s="13" t="str">
        <f aca="false">IF(S35="","",IF(S35&lt;=Escalas!$D$28,"Sí","No — requiere aprobación"))</f>
        <v/>
      </c>
      <c r="V35" s="9"/>
    </row>
    <row r="36" customFormat="false" ht="15" hidden="false" customHeight="false" outlineLevel="0" collapsed="false">
      <c r="A36" s="9"/>
      <c r="B36" s="9"/>
      <c r="C36" s="11" t="str">
        <f aca="false">IF(B36="","",IFERROR(INDEX('Inventario de activos'!$B$5:$B$204,MATCH(B36,'Inventario de activos'!$A$5:$A$204,0)),"ID no encontrado"))</f>
        <v/>
      </c>
      <c r="D36" s="9"/>
      <c r="E36" s="11" t="str">
        <f aca="false">IF(D36="","",IFERROR(INDEX('Catálogo de amenazas'!$B$5:$B$204,MATCH(D36,'Catálogo de amenazas'!$A$5:$A$204,0)),"ID no encontrado"))</f>
        <v/>
      </c>
      <c r="F36" s="9"/>
      <c r="G36" s="11" t="str">
        <f aca="false">IF(F36="","",IFERROR(INDEX('Catálogo de vulnerabilidades'!$B$5:$B$204,MATCH(F36,'Catálogo de vulnerabilidades'!$A$5:$A$204,0)),"ID no encontrado"))</f>
        <v/>
      </c>
      <c r="H36" s="8"/>
      <c r="I36" s="9"/>
      <c r="J36" s="8"/>
      <c r="K36" s="8"/>
      <c r="L36" s="9"/>
      <c r="M36" s="9"/>
      <c r="N36" s="12" t="str">
        <f aca="false">IF(OR(L36="",M36=""),"",L36*M36)</f>
        <v/>
      </c>
      <c r="O36" s="13" t="str">
        <f aca="false">IF(N36="","",IF(N36&gt;=Escalas!$A$24,"Crítico",IF(N36&gt;=Escalas!$A$23,"Alto",IF(N36&gt;=Escalas!$A$22,"Medio","Bajo"))))</f>
        <v/>
      </c>
      <c r="P36" s="9"/>
      <c r="Q36" s="9"/>
      <c r="R36" s="9"/>
      <c r="S36" s="12" t="str">
        <f aca="false">IF(OR(Q36="",R36=""),"",Q36*R36)</f>
        <v/>
      </c>
      <c r="T36" s="13" t="str">
        <f aca="false">IF(S36="","",IF(S36&gt;=Escalas!$A$24,"Crítico",IF(S36&gt;=Escalas!$A$23,"Alto",IF(S36&gt;=Escalas!$A$22,"Medio","Bajo"))))</f>
        <v/>
      </c>
      <c r="U36" s="13" t="str">
        <f aca="false">IF(S36="","",IF(S36&lt;=Escalas!$D$28,"Sí","No — requiere aprobación"))</f>
        <v/>
      </c>
      <c r="V36" s="9"/>
    </row>
    <row r="37" customFormat="false" ht="15" hidden="false" customHeight="false" outlineLevel="0" collapsed="false">
      <c r="A37" s="9"/>
      <c r="B37" s="9"/>
      <c r="C37" s="11" t="str">
        <f aca="false">IF(B37="","",IFERROR(INDEX('Inventario de activos'!$B$5:$B$204,MATCH(B37,'Inventario de activos'!$A$5:$A$204,0)),"ID no encontrado"))</f>
        <v/>
      </c>
      <c r="D37" s="9"/>
      <c r="E37" s="11" t="str">
        <f aca="false">IF(D37="","",IFERROR(INDEX('Catálogo de amenazas'!$B$5:$B$204,MATCH(D37,'Catálogo de amenazas'!$A$5:$A$204,0)),"ID no encontrado"))</f>
        <v/>
      </c>
      <c r="F37" s="9"/>
      <c r="G37" s="11" t="str">
        <f aca="false">IF(F37="","",IFERROR(INDEX('Catálogo de vulnerabilidades'!$B$5:$B$204,MATCH(F37,'Catálogo de vulnerabilidades'!$A$5:$A$204,0)),"ID no encontrado"))</f>
        <v/>
      </c>
      <c r="H37" s="8"/>
      <c r="I37" s="9"/>
      <c r="J37" s="8"/>
      <c r="K37" s="8"/>
      <c r="L37" s="9"/>
      <c r="M37" s="9"/>
      <c r="N37" s="12" t="str">
        <f aca="false">IF(OR(L37="",M37=""),"",L37*M37)</f>
        <v/>
      </c>
      <c r="O37" s="13" t="str">
        <f aca="false">IF(N37="","",IF(N37&gt;=Escalas!$A$24,"Crítico",IF(N37&gt;=Escalas!$A$23,"Alto",IF(N37&gt;=Escalas!$A$22,"Medio","Bajo"))))</f>
        <v/>
      </c>
      <c r="P37" s="9"/>
      <c r="Q37" s="9"/>
      <c r="R37" s="9"/>
      <c r="S37" s="12" t="str">
        <f aca="false">IF(OR(Q37="",R37=""),"",Q37*R37)</f>
        <v/>
      </c>
      <c r="T37" s="13" t="str">
        <f aca="false">IF(S37="","",IF(S37&gt;=Escalas!$A$24,"Crítico",IF(S37&gt;=Escalas!$A$23,"Alto",IF(S37&gt;=Escalas!$A$22,"Medio","Bajo"))))</f>
        <v/>
      </c>
      <c r="U37" s="13" t="str">
        <f aca="false">IF(S37="","",IF(S37&lt;=Escalas!$D$28,"Sí","No — requiere aprobación"))</f>
        <v/>
      </c>
      <c r="V37" s="9"/>
    </row>
    <row r="38" customFormat="false" ht="15" hidden="false" customHeight="false" outlineLevel="0" collapsed="false">
      <c r="A38" s="9"/>
      <c r="B38" s="9"/>
      <c r="C38" s="11" t="str">
        <f aca="false">IF(B38="","",IFERROR(INDEX('Inventario de activos'!$B$5:$B$204,MATCH(B38,'Inventario de activos'!$A$5:$A$204,0)),"ID no encontrado"))</f>
        <v/>
      </c>
      <c r="D38" s="9"/>
      <c r="E38" s="11" t="str">
        <f aca="false">IF(D38="","",IFERROR(INDEX('Catálogo de amenazas'!$B$5:$B$204,MATCH(D38,'Catálogo de amenazas'!$A$5:$A$204,0)),"ID no encontrado"))</f>
        <v/>
      </c>
      <c r="F38" s="9"/>
      <c r="G38" s="11" t="str">
        <f aca="false">IF(F38="","",IFERROR(INDEX('Catálogo de vulnerabilidades'!$B$5:$B$204,MATCH(F38,'Catálogo de vulnerabilidades'!$A$5:$A$204,0)),"ID no encontrado"))</f>
        <v/>
      </c>
      <c r="H38" s="8"/>
      <c r="I38" s="9"/>
      <c r="J38" s="8"/>
      <c r="K38" s="8"/>
      <c r="L38" s="9"/>
      <c r="M38" s="9"/>
      <c r="N38" s="12" t="str">
        <f aca="false">IF(OR(L38="",M38=""),"",L38*M38)</f>
        <v/>
      </c>
      <c r="O38" s="13" t="str">
        <f aca="false">IF(N38="","",IF(N38&gt;=Escalas!$A$24,"Crítico",IF(N38&gt;=Escalas!$A$23,"Alto",IF(N38&gt;=Escalas!$A$22,"Medio","Bajo"))))</f>
        <v/>
      </c>
      <c r="P38" s="9"/>
      <c r="Q38" s="9"/>
      <c r="R38" s="9"/>
      <c r="S38" s="12" t="str">
        <f aca="false">IF(OR(Q38="",R38=""),"",Q38*R38)</f>
        <v/>
      </c>
      <c r="T38" s="13" t="str">
        <f aca="false">IF(S38="","",IF(S38&gt;=Escalas!$A$24,"Crítico",IF(S38&gt;=Escalas!$A$23,"Alto",IF(S38&gt;=Escalas!$A$22,"Medio","Bajo"))))</f>
        <v/>
      </c>
      <c r="U38" s="13" t="str">
        <f aca="false">IF(S38="","",IF(S38&lt;=Escalas!$D$28,"Sí","No — requiere aprobación"))</f>
        <v/>
      </c>
      <c r="V38" s="9"/>
    </row>
    <row r="39" customFormat="false" ht="15" hidden="false" customHeight="false" outlineLevel="0" collapsed="false">
      <c r="A39" s="9"/>
      <c r="B39" s="9"/>
      <c r="C39" s="11" t="str">
        <f aca="false">IF(B39="","",IFERROR(INDEX('Inventario de activos'!$B$5:$B$204,MATCH(B39,'Inventario de activos'!$A$5:$A$204,0)),"ID no encontrado"))</f>
        <v/>
      </c>
      <c r="D39" s="9"/>
      <c r="E39" s="11" t="str">
        <f aca="false">IF(D39="","",IFERROR(INDEX('Catálogo de amenazas'!$B$5:$B$204,MATCH(D39,'Catálogo de amenazas'!$A$5:$A$204,0)),"ID no encontrado"))</f>
        <v/>
      </c>
      <c r="F39" s="9"/>
      <c r="G39" s="11" t="str">
        <f aca="false">IF(F39="","",IFERROR(INDEX('Catálogo de vulnerabilidades'!$B$5:$B$204,MATCH(F39,'Catálogo de vulnerabilidades'!$A$5:$A$204,0)),"ID no encontrado"))</f>
        <v/>
      </c>
      <c r="H39" s="8"/>
      <c r="I39" s="9"/>
      <c r="J39" s="8"/>
      <c r="K39" s="8"/>
      <c r="L39" s="9"/>
      <c r="M39" s="9"/>
      <c r="N39" s="12" t="str">
        <f aca="false">IF(OR(L39="",M39=""),"",L39*M39)</f>
        <v/>
      </c>
      <c r="O39" s="13" t="str">
        <f aca="false">IF(N39="","",IF(N39&gt;=Escalas!$A$24,"Crítico",IF(N39&gt;=Escalas!$A$23,"Alto",IF(N39&gt;=Escalas!$A$22,"Medio","Bajo"))))</f>
        <v/>
      </c>
      <c r="P39" s="9"/>
      <c r="Q39" s="9"/>
      <c r="R39" s="9"/>
      <c r="S39" s="12" t="str">
        <f aca="false">IF(OR(Q39="",R39=""),"",Q39*R39)</f>
        <v/>
      </c>
      <c r="T39" s="13" t="str">
        <f aca="false">IF(S39="","",IF(S39&gt;=Escalas!$A$24,"Crítico",IF(S39&gt;=Escalas!$A$23,"Alto",IF(S39&gt;=Escalas!$A$22,"Medio","Bajo"))))</f>
        <v/>
      </c>
      <c r="U39" s="13" t="str">
        <f aca="false">IF(S39="","",IF(S39&lt;=Escalas!$D$28,"Sí","No — requiere aprobación"))</f>
        <v/>
      </c>
      <c r="V39" s="9"/>
    </row>
    <row r="40" customFormat="false" ht="15" hidden="false" customHeight="false" outlineLevel="0" collapsed="false">
      <c r="A40" s="9"/>
      <c r="B40" s="9"/>
      <c r="C40" s="11" t="str">
        <f aca="false">IF(B40="","",IFERROR(INDEX('Inventario de activos'!$B$5:$B$204,MATCH(B40,'Inventario de activos'!$A$5:$A$204,0)),"ID no encontrado"))</f>
        <v/>
      </c>
      <c r="D40" s="9"/>
      <c r="E40" s="11" t="str">
        <f aca="false">IF(D40="","",IFERROR(INDEX('Catálogo de amenazas'!$B$5:$B$204,MATCH(D40,'Catálogo de amenazas'!$A$5:$A$204,0)),"ID no encontrado"))</f>
        <v/>
      </c>
      <c r="F40" s="9"/>
      <c r="G40" s="11" t="str">
        <f aca="false">IF(F40="","",IFERROR(INDEX('Catálogo de vulnerabilidades'!$B$5:$B$204,MATCH(F40,'Catálogo de vulnerabilidades'!$A$5:$A$204,0)),"ID no encontrado"))</f>
        <v/>
      </c>
      <c r="H40" s="8"/>
      <c r="I40" s="9"/>
      <c r="J40" s="8"/>
      <c r="K40" s="8"/>
      <c r="L40" s="9"/>
      <c r="M40" s="9"/>
      <c r="N40" s="12" t="str">
        <f aca="false">IF(OR(L40="",M40=""),"",L40*M40)</f>
        <v/>
      </c>
      <c r="O40" s="13" t="str">
        <f aca="false">IF(N40="","",IF(N40&gt;=Escalas!$A$24,"Crítico",IF(N40&gt;=Escalas!$A$23,"Alto",IF(N40&gt;=Escalas!$A$22,"Medio","Bajo"))))</f>
        <v/>
      </c>
      <c r="P40" s="9"/>
      <c r="Q40" s="9"/>
      <c r="R40" s="9"/>
      <c r="S40" s="12" t="str">
        <f aca="false">IF(OR(Q40="",R40=""),"",Q40*R40)</f>
        <v/>
      </c>
      <c r="T40" s="13" t="str">
        <f aca="false">IF(S40="","",IF(S40&gt;=Escalas!$A$24,"Crítico",IF(S40&gt;=Escalas!$A$23,"Alto",IF(S40&gt;=Escalas!$A$22,"Medio","Bajo"))))</f>
        <v/>
      </c>
      <c r="U40" s="13" t="str">
        <f aca="false">IF(S40="","",IF(S40&lt;=Escalas!$D$28,"Sí","No — requiere aprobación"))</f>
        <v/>
      </c>
      <c r="V40" s="9"/>
    </row>
    <row r="41" customFormat="false" ht="15" hidden="false" customHeight="false" outlineLevel="0" collapsed="false">
      <c r="A41" s="9"/>
      <c r="B41" s="9"/>
      <c r="C41" s="11" t="str">
        <f aca="false">IF(B41="","",IFERROR(INDEX('Inventario de activos'!$B$5:$B$204,MATCH(B41,'Inventario de activos'!$A$5:$A$204,0)),"ID no encontrado"))</f>
        <v/>
      </c>
      <c r="D41" s="9"/>
      <c r="E41" s="11" t="str">
        <f aca="false">IF(D41="","",IFERROR(INDEX('Catálogo de amenazas'!$B$5:$B$204,MATCH(D41,'Catálogo de amenazas'!$A$5:$A$204,0)),"ID no encontrado"))</f>
        <v/>
      </c>
      <c r="F41" s="9"/>
      <c r="G41" s="11" t="str">
        <f aca="false">IF(F41="","",IFERROR(INDEX('Catálogo de vulnerabilidades'!$B$5:$B$204,MATCH(F41,'Catálogo de vulnerabilidades'!$A$5:$A$204,0)),"ID no encontrado"))</f>
        <v/>
      </c>
      <c r="H41" s="8"/>
      <c r="I41" s="9"/>
      <c r="J41" s="8"/>
      <c r="K41" s="8"/>
      <c r="L41" s="9"/>
      <c r="M41" s="9"/>
      <c r="N41" s="12" t="str">
        <f aca="false">IF(OR(L41="",M41=""),"",L41*M41)</f>
        <v/>
      </c>
      <c r="O41" s="13" t="str">
        <f aca="false">IF(N41="","",IF(N41&gt;=Escalas!$A$24,"Crítico",IF(N41&gt;=Escalas!$A$23,"Alto",IF(N41&gt;=Escalas!$A$22,"Medio","Bajo"))))</f>
        <v/>
      </c>
      <c r="P41" s="9"/>
      <c r="Q41" s="9"/>
      <c r="R41" s="9"/>
      <c r="S41" s="12" t="str">
        <f aca="false">IF(OR(Q41="",R41=""),"",Q41*R41)</f>
        <v/>
      </c>
      <c r="T41" s="13" t="str">
        <f aca="false">IF(S41="","",IF(S41&gt;=Escalas!$A$24,"Crítico",IF(S41&gt;=Escalas!$A$23,"Alto",IF(S41&gt;=Escalas!$A$22,"Medio","Bajo"))))</f>
        <v/>
      </c>
      <c r="U41" s="13" t="str">
        <f aca="false">IF(S41="","",IF(S41&lt;=Escalas!$D$28,"Sí","No — requiere aprobación"))</f>
        <v/>
      </c>
      <c r="V41" s="9"/>
    </row>
    <row r="42" customFormat="false" ht="15" hidden="false" customHeight="false" outlineLevel="0" collapsed="false">
      <c r="A42" s="9"/>
      <c r="B42" s="9"/>
      <c r="C42" s="11" t="str">
        <f aca="false">IF(B42="","",IFERROR(INDEX('Inventario de activos'!$B$5:$B$204,MATCH(B42,'Inventario de activos'!$A$5:$A$204,0)),"ID no encontrado"))</f>
        <v/>
      </c>
      <c r="D42" s="9"/>
      <c r="E42" s="11" t="str">
        <f aca="false">IF(D42="","",IFERROR(INDEX('Catálogo de amenazas'!$B$5:$B$204,MATCH(D42,'Catálogo de amenazas'!$A$5:$A$204,0)),"ID no encontrado"))</f>
        <v/>
      </c>
      <c r="F42" s="9"/>
      <c r="G42" s="11" t="str">
        <f aca="false">IF(F42="","",IFERROR(INDEX('Catálogo de vulnerabilidades'!$B$5:$B$204,MATCH(F42,'Catálogo de vulnerabilidades'!$A$5:$A$204,0)),"ID no encontrado"))</f>
        <v/>
      </c>
      <c r="H42" s="8"/>
      <c r="I42" s="9"/>
      <c r="J42" s="8"/>
      <c r="K42" s="8"/>
      <c r="L42" s="9"/>
      <c r="M42" s="9"/>
      <c r="N42" s="12" t="str">
        <f aca="false">IF(OR(L42="",M42=""),"",L42*M42)</f>
        <v/>
      </c>
      <c r="O42" s="13" t="str">
        <f aca="false">IF(N42="","",IF(N42&gt;=Escalas!$A$24,"Crítico",IF(N42&gt;=Escalas!$A$23,"Alto",IF(N42&gt;=Escalas!$A$22,"Medio","Bajo"))))</f>
        <v/>
      </c>
      <c r="P42" s="9"/>
      <c r="Q42" s="9"/>
      <c r="R42" s="9"/>
      <c r="S42" s="12" t="str">
        <f aca="false">IF(OR(Q42="",R42=""),"",Q42*R42)</f>
        <v/>
      </c>
      <c r="T42" s="13" t="str">
        <f aca="false">IF(S42="","",IF(S42&gt;=Escalas!$A$24,"Crítico",IF(S42&gt;=Escalas!$A$23,"Alto",IF(S42&gt;=Escalas!$A$22,"Medio","Bajo"))))</f>
        <v/>
      </c>
      <c r="U42" s="13" t="str">
        <f aca="false">IF(S42="","",IF(S42&lt;=Escalas!$D$28,"Sí","No — requiere aprobación"))</f>
        <v/>
      </c>
      <c r="V42" s="9"/>
    </row>
    <row r="43" customFormat="false" ht="15" hidden="false" customHeight="false" outlineLevel="0" collapsed="false">
      <c r="A43" s="9"/>
      <c r="B43" s="9"/>
      <c r="C43" s="11" t="str">
        <f aca="false">IF(B43="","",IFERROR(INDEX('Inventario de activos'!$B$5:$B$204,MATCH(B43,'Inventario de activos'!$A$5:$A$204,0)),"ID no encontrado"))</f>
        <v/>
      </c>
      <c r="D43" s="9"/>
      <c r="E43" s="11" t="str">
        <f aca="false">IF(D43="","",IFERROR(INDEX('Catálogo de amenazas'!$B$5:$B$204,MATCH(D43,'Catálogo de amenazas'!$A$5:$A$204,0)),"ID no encontrado"))</f>
        <v/>
      </c>
      <c r="F43" s="9"/>
      <c r="G43" s="11" t="str">
        <f aca="false">IF(F43="","",IFERROR(INDEX('Catálogo de vulnerabilidades'!$B$5:$B$204,MATCH(F43,'Catálogo de vulnerabilidades'!$A$5:$A$204,0)),"ID no encontrado"))</f>
        <v/>
      </c>
      <c r="H43" s="8"/>
      <c r="I43" s="9"/>
      <c r="J43" s="8"/>
      <c r="K43" s="8"/>
      <c r="L43" s="9"/>
      <c r="M43" s="9"/>
      <c r="N43" s="12" t="str">
        <f aca="false">IF(OR(L43="",M43=""),"",L43*M43)</f>
        <v/>
      </c>
      <c r="O43" s="13" t="str">
        <f aca="false">IF(N43="","",IF(N43&gt;=Escalas!$A$24,"Crítico",IF(N43&gt;=Escalas!$A$23,"Alto",IF(N43&gt;=Escalas!$A$22,"Medio","Bajo"))))</f>
        <v/>
      </c>
      <c r="P43" s="9"/>
      <c r="Q43" s="9"/>
      <c r="R43" s="9"/>
      <c r="S43" s="12" t="str">
        <f aca="false">IF(OR(Q43="",R43=""),"",Q43*R43)</f>
        <v/>
      </c>
      <c r="T43" s="13" t="str">
        <f aca="false">IF(S43="","",IF(S43&gt;=Escalas!$A$24,"Crítico",IF(S43&gt;=Escalas!$A$23,"Alto",IF(S43&gt;=Escalas!$A$22,"Medio","Bajo"))))</f>
        <v/>
      </c>
      <c r="U43" s="13" t="str">
        <f aca="false">IF(S43="","",IF(S43&lt;=Escalas!$D$28,"Sí","No — requiere aprobación"))</f>
        <v/>
      </c>
      <c r="V43" s="9"/>
    </row>
    <row r="44" customFormat="false" ht="15" hidden="false" customHeight="false" outlineLevel="0" collapsed="false">
      <c r="A44" s="9"/>
      <c r="B44" s="9"/>
      <c r="C44" s="11" t="str">
        <f aca="false">IF(B44="","",IFERROR(INDEX('Inventario de activos'!$B$5:$B$204,MATCH(B44,'Inventario de activos'!$A$5:$A$204,0)),"ID no encontrado"))</f>
        <v/>
      </c>
      <c r="D44" s="9"/>
      <c r="E44" s="11" t="str">
        <f aca="false">IF(D44="","",IFERROR(INDEX('Catálogo de amenazas'!$B$5:$B$204,MATCH(D44,'Catálogo de amenazas'!$A$5:$A$204,0)),"ID no encontrado"))</f>
        <v/>
      </c>
      <c r="F44" s="9"/>
      <c r="G44" s="11" t="str">
        <f aca="false">IF(F44="","",IFERROR(INDEX('Catálogo de vulnerabilidades'!$B$5:$B$204,MATCH(F44,'Catálogo de vulnerabilidades'!$A$5:$A$204,0)),"ID no encontrado"))</f>
        <v/>
      </c>
      <c r="H44" s="8"/>
      <c r="I44" s="9"/>
      <c r="J44" s="8"/>
      <c r="K44" s="8"/>
      <c r="L44" s="9"/>
      <c r="M44" s="9"/>
      <c r="N44" s="12" t="str">
        <f aca="false">IF(OR(L44="",M44=""),"",L44*M44)</f>
        <v/>
      </c>
      <c r="O44" s="13" t="str">
        <f aca="false">IF(N44="","",IF(N44&gt;=Escalas!$A$24,"Crítico",IF(N44&gt;=Escalas!$A$23,"Alto",IF(N44&gt;=Escalas!$A$22,"Medio","Bajo"))))</f>
        <v/>
      </c>
      <c r="P44" s="9"/>
      <c r="Q44" s="9"/>
      <c r="R44" s="9"/>
      <c r="S44" s="12" t="str">
        <f aca="false">IF(OR(Q44="",R44=""),"",Q44*R44)</f>
        <v/>
      </c>
      <c r="T44" s="13" t="str">
        <f aca="false">IF(S44="","",IF(S44&gt;=Escalas!$A$24,"Crítico",IF(S44&gt;=Escalas!$A$23,"Alto",IF(S44&gt;=Escalas!$A$22,"Medio","Bajo"))))</f>
        <v/>
      </c>
      <c r="U44" s="13" t="str">
        <f aca="false">IF(S44="","",IF(S44&lt;=Escalas!$D$28,"Sí","No — requiere aprobación"))</f>
        <v/>
      </c>
      <c r="V44" s="9"/>
    </row>
    <row r="45" customFormat="false" ht="15" hidden="false" customHeight="false" outlineLevel="0" collapsed="false">
      <c r="A45" s="9"/>
      <c r="B45" s="9"/>
      <c r="C45" s="11" t="str">
        <f aca="false">IF(B45="","",IFERROR(INDEX('Inventario de activos'!$B$5:$B$204,MATCH(B45,'Inventario de activos'!$A$5:$A$204,0)),"ID no encontrado"))</f>
        <v/>
      </c>
      <c r="D45" s="9"/>
      <c r="E45" s="11" t="str">
        <f aca="false">IF(D45="","",IFERROR(INDEX('Catálogo de amenazas'!$B$5:$B$204,MATCH(D45,'Catálogo de amenazas'!$A$5:$A$204,0)),"ID no encontrado"))</f>
        <v/>
      </c>
      <c r="F45" s="9"/>
      <c r="G45" s="11" t="str">
        <f aca="false">IF(F45="","",IFERROR(INDEX('Catálogo de vulnerabilidades'!$B$5:$B$204,MATCH(F45,'Catálogo de vulnerabilidades'!$A$5:$A$204,0)),"ID no encontrado"))</f>
        <v/>
      </c>
      <c r="H45" s="8"/>
      <c r="I45" s="9"/>
      <c r="J45" s="8"/>
      <c r="K45" s="8"/>
      <c r="L45" s="9"/>
      <c r="M45" s="9"/>
      <c r="N45" s="12" t="str">
        <f aca="false">IF(OR(L45="",M45=""),"",L45*M45)</f>
        <v/>
      </c>
      <c r="O45" s="13" t="str">
        <f aca="false">IF(N45="","",IF(N45&gt;=Escalas!$A$24,"Crítico",IF(N45&gt;=Escalas!$A$23,"Alto",IF(N45&gt;=Escalas!$A$22,"Medio","Bajo"))))</f>
        <v/>
      </c>
      <c r="P45" s="9"/>
      <c r="Q45" s="9"/>
      <c r="R45" s="9"/>
      <c r="S45" s="12" t="str">
        <f aca="false">IF(OR(Q45="",R45=""),"",Q45*R45)</f>
        <v/>
      </c>
      <c r="T45" s="13" t="str">
        <f aca="false">IF(S45="","",IF(S45&gt;=Escalas!$A$24,"Crítico",IF(S45&gt;=Escalas!$A$23,"Alto",IF(S45&gt;=Escalas!$A$22,"Medio","Bajo"))))</f>
        <v/>
      </c>
      <c r="U45" s="13" t="str">
        <f aca="false">IF(S45="","",IF(S45&lt;=Escalas!$D$28,"Sí","No — requiere aprobación"))</f>
        <v/>
      </c>
      <c r="V45" s="9"/>
    </row>
    <row r="46" customFormat="false" ht="15" hidden="false" customHeight="false" outlineLevel="0" collapsed="false">
      <c r="A46" s="9"/>
      <c r="B46" s="9"/>
      <c r="C46" s="11" t="str">
        <f aca="false">IF(B46="","",IFERROR(INDEX('Inventario de activos'!$B$5:$B$204,MATCH(B46,'Inventario de activos'!$A$5:$A$204,0)),"ID no encontrado"))</f>
        <v/>
      </c>
      <c r="D46" s="9"/>
      <c r="E46" s="11" t="str">
        <f aca="false">IF(D46="","",IFERROR(INDEX('Catálogo de amenazas'!$B$5:$B$204,MATCH(D46,'Catálogo de amenazas'!$A$5:$A$204,0)),"ID no encontrado"))</f>
        <v/>
      </c>
      <c r="F46" s="9"/>
      <c r="G46" s="11" t="str">
        <f aca="false">IF(F46="","",IFERROR(INDEX('Catálogo de vulnerabilidades'!$B$5:$B$204,MATCH(F46,'Catálogo de vulnerabilidades'!$A$5:$A$204,0)),"ID no encontrado"))</f>
        <v/>
      </c>
      <c r="H46" s="8"/>
      <c r="I46" s="9"/>
      <c r="J46" s="8"/>
      <c r="K46" s="8"/>
      <c r="L46" s="9"/>
      <c r="M46" s="9"/>
      <c r="N46" s="12" t="str">
        <f aca="false">IF(OR(L46="",M46=""),"",L46*M46)</f>
        <v/>
      </c>
      <c r="O46" s="13" t="str">
        <f aca="false">IF(N46="","",IF(N46&gt;=Escalas!$A$24,"Crítico",IF(N46&gt;=Escalas!$A$23,"Alto",IF(N46&gt;=Escalas!$A$22,"Medio","Bajo"))))</f>
        <v/>
      </c>
      <c r="P46" s="9"/>
      <c r="Q46" s="9"/>
      <c r="R46" s="9"/>
      <c r="S46" s="12" t="str">
        <f aca="false">IF(OR(Q46="",R46=""),"",Q46*R46)</f>
        <v/>
      </c>
      <c r="T46" s="13" t="str">
        <f aca="false">IF(S46="","",IF(S46&gt;=Escalas!$A$24,"Crítico",IF(S46&gt;=Escalas!$A$23,"Alto",IF(S46&gt;=Escalas!$A$22,"Medio","Bajo"))))</f>
        <v/>
      </c>
      <c r="U46" s="13" t="str">
        <f aca="false">IF(S46="","",IF(S46&lt;=Escalas!$D$28,"Sí","No — requiere aprobación"))</f>
        <v/>
      </c>
      <c r="V46" s="9"/>
    </row>
    <row r="47" customFormat="false" ht="15" hidden="false" customHeight="false" outlineLevel="0" collapsed="false">
      <c r="A47" s="9"/>
      <c r="B47" s="9"/>
      <c r="C47" s="11" t="str">
        <f aca="false">IF(B47="","",IFERROR(INDEX('Inventario de activos'!$B$5:$B$204,MATCH(B47,'Inventario de activos'!$A$5:$A$204,0)),"ID no encontrado"))</f>
        <v/>
      </c>
      <c r="D47" s="9"/>
      <c r="E47" s="11" t="str">
        <f aca="false">IF(D47="","",IFERROR(INDEX('Catálogo de amenazas'!$B$5:$B$204,MATCH(D47,'Catálogo de amenazas'!$A$5:$A$204,0)),"ID no encontrado"))</f>
        <v/>
      </c>
      <c r="F47" s="9"/>
      <c r="G47" s="11" t="str">
        <f aca="false">IF(F47="","",IFERROR(INDEX('Catálogo de vulnerabilidades'!$B$5:$B$204,MATCH(F47,'Catálogo de vulnerabilidades'!$A$5:$A$204,0)),"ID no encontrado"))</f>
        <v/>
      </c>
      <c r="H47" s="8"/>
      <c r="I47" s="9"/>
      <c r="J47" s="8"/>
      <c r="K47" s="8"/>
      <c r="L47" s="9"/>
      <c r="M47" s="9"/>
      <c r="N47" s="12" t="str">
        <f aca="false">IF(OR(L47="",M47=""),"",L47*M47)</f>
        <v/>
      </c>
      <c r="O47" s="13" t="str">
        <f aca="false">IF(N47="","",IF(N47&gt;=Escalas!$A$24,"Crítico",IF(N47&gt;=Escalas!$A$23,"Alto",IF(N47&gt;=Escalas!$A$22,"Medio","Bajo"))))</f>
        <v/>
      </c>
      <c r="P47" s="9"/>
      <c r="Q47" s="9"/>
      <c r="R47" s="9"/>
      <c r="S47" s="12" t="str">
        <f aca="false">IF(OR(Q47="",R47=""),"",Q47*R47)</f>
        <v/>
      </c>
      <c r="T47" s="13" t="str">
        <f aca="false">IF(S47="","",IF(S47&gt;=Escalas!$A$24,"Crítico",IF(S47&gt;=Escalas!$A$23,"Alto",IF(S47&gt;=Escalas!$A$22,"Medio","Bajo"))))</f>
        <v/>
      </c>
      <c r="U47" s="13" t="str">
        <f aca="false">IF(S47="","",IF(S47&lt;=Escalas!$D$28,"Sí","No — requiere aprobación"))</f>
        <v/>
      </c>
      <c r="V47" s="9"/>
    </row>
    <row r="48" customFormat="false" ht="15" hidden="false" customHeight="false" outlineLevel="0" collapsed="false">
      <c r="A48" s="9"/>
      <c r="B48" s="9"/>
      <c r="C48" s="11" t="str">
        <f aca="false">IF(B48="","",IFERROR(INDEX('Inventario de activos'!$B$5:$B$204,MATCH(B48,'Inventario de activos'!$A$5:$A$204,0)),"ID no encontrado"))</f>
        <v/>
      </c>
      <c r="D48" s="9"/>
      <c r="E48" s="11" t="str">
        <f aca="false">IF(D48="","",IFERROR(INDEX('Catálogo de amenazas'!$B$5:$B$204,MATCH(D48,'Catálogo de amenazas'!$A$5:$A$204,0)),"ID no encontrado"))</f>
        <v/>
      </c>
      <c r="F48" s="9"/>
      <c r="G48" s="11" t="str">
        <f aca="false">IF(F48="","",IFERROR(INDEX('Catálogo de vulnerabilidades'!$B$5:$B$204,MATCH(F48,'Catálogo de vulnerabilidades'!$A$5:$A$204,0)),"ID no encontrado"))</f>
        <v/>
      </c>
      <c r="H48" s="8"/>
      <c r="I48" s="9"/>
      <c r="J48" s="8"/>
      <c r="K48" s="8"/>
      <c r="L48" s="9"/>
      <c r="M48" s="9"/>
      <c r="N48" s="12" t="str">
        <f aca="false">IF(OR(L48="",M48=""),"",L48*M48)</f>
        <v/>
      </c>
      <c r="O48" s="13" t="str">
        <f aca="false">IF(N48="","",IF(N48&gt;=Escalas!$A$24,"Crítico",IF(N48&gt;=Escalas!$A$23,"Alto",IF(N48&gt;=Escalas!$A$22,"Medio","Bajo"))))</f>
        <v/>
      </c>
      <c r="P48" s="9"/>
      <c r="Q48" s="9"/>
      <c r="R48" s="9"/>
      <c r="S48" s="12" t="str">
        <f aca="false">IF(OR(Q48="",R48=""),"",Q48*R48)</f>
        <v/>
      </c>
      <c r="T48" s="13" t="str">
        <f aca="false">IF(S48="","",IF(S48&gt;=Escalas!$A$24,"Crítico",IF(S48&gt;=Escalas!$A$23,"Alto",IF(S48&gt;=Escalas!$A$22,"Medio","Bajo"))))</f>
        <v/>
      </c>
      <c r="U48" s="13" t="str">
        <f aca="false">IF(S48="","",IF(S48&lt;=Escalas!$D$28,"Sí","No — requiere aprobación"))</f>
        <v/>
      </c>
      <c r="V48" s="9"/>
    </row>
    <row r="49" customFormat="false" ht="15" hidden="false" customHeight="false" outlineLevel="0" collapsed="false">
      <c r="A49" s="9"/>
      <c r="B49" s="9"/>
      <c r="C49" s="11" t="str">
        <f aca="false">IF(B49="","",IFERROR(INDEX('Inventario de activos'!$B$5:$B$204,MATCH(B49,'Inventario de activos'!$A$5:$A$204,0)),"ID no encontrado"))</f>
        <v/>
      </c>
      <c r="D49" s="9"/>
      <c r="E49" s="11" t="str">
        <f aca="false">IF(D49="","",IFERROR(INDEX('Catálogo de amenazas'!$B$5:$B$204,MATCH(D49,'Catálogo de amenazas'!$A$5:$A$204,0)),"ID no encontrado"))</f>
        <v/>
      </c>
      <c r="F49" s="9"/>
      <c r="G49" s="11" t="str">
        <f aca="false">IF(F49="","",IFERROR(INDEX('Catálogo de vulnerabilidades'!$B$5:$B$204,MATCH(F49,'Catálogo de vulnerabilidades'!$A$5:$A$204,0)),"ID no encontrado"))</f>
        <v/>
      </c>
      <c r="H49" s="8"/>
      <c r="I49" s="9"/>
      <c r="J49" s="8"/>
      <c r="K49" s="8"/>
      <c r="L49" s="9"/>
      <c r="M49" s="9"/>
      <c r="N49" s="12" t="str">
        <f aca="false">IF(OR(L49="",M49=""),"",L49*M49)</f>
        <v/>
      </c>
      <c r="O49" s="13" t="str">
        <f aca="false">IF(N49="","",IF(N49&gt;=Escalas!$A$24,"Crítico",IF(N49&gt;=Escalas!$A$23,"Alto",IF(N49&gt;=Escalas!$A$22,"Medio","Bajo"))))</f>
        <v/>
      </c>
      <c r="P49" s="9"/>
      <c r="Q49" s="9"/>
      <c r="R49" s="9"/>
      <c r="S49" s="12" t="str">
        <f aca="false">IF(OR(Q49="",R49=""),"",Q49*R49)</f>
        <v/>
      </c>
      <c r="T49" s="13" t="str">
        <f aca="false">IF(S49="","",IF(S49&gt;=Escalas!$A$24,"Crítico",IF(S49&gt;=Escalas!$A$23,"Alto",IF(S49&gt;=Escalas!$A$22,"Medio","Bajo"))))</f>
        <v/>
      </c>
      <c r="U49" s="13" t="str">
        <f aca="false">IF(S49="","",IF(S49&lt;=Escalas!$D$28,"Sí","No — requiere aprobación"))</f>
        <v/>
      </c>
      <c r="V49" s="9"/>
    </row>
    <row r="50" customFormat="false" ht="15" hidden="false" customHeight="false" outlineLevel="0" collapsed="false">
      <c r="A50" s="9"/>
      <c r="B50" s="9"/>
      <c r="C50" s="11" t="str">
        <f aca="false">IF(B50="","",IFERROR(INDEX('Inventario de activos'!$B$5:$B$204,MATCH(B50,'Inventario de activos'!$A$5:$A$204,0)),"ID no encontrado"))</f>
        <v/>
      </c>
      <c r="D50" s="9"/>
      <c r="E50" s="11" t="str">
        <f aca="false">IF(D50="","",IFERROR(INDEX('Catálogo de amenazas'!$B$5:$B$204,MATCH(D50,'Catálogo de amenazas'!$A$5:$A$204,0)),"ID no encontrado"))</f>
        <v/>
      </c>
      <c r="F50" s="9"/>
      <c r="G50" s="11" t="str">
        <f aca="false">IF(F50="","",IFERROR(INDEX('Catálogo de vulnerabilidades'!$B$5:$B$204,MATCH(F50,'Catálogo de vulnerabilidades'!$A$5:$A$204,0)),"ID no encontrado"))</f>
        <v/>
      </c>
      <c r="H50" s="8"/>
      <c r="I50" s="9"/>
      <c r="J50" s="8"/>
      <c r="K50" s="8"/>
      <c r="L50" s="9"/>
      <c r="M50" s="9"/>
      <c r="N50" s="12" t="str">
        <f aca="false">IF(OR(L50="",M50=""),"",L50*M50)</f>
        <v/>
      </c>
      <c r="O50" s="13" t="str">
        <f aca="false">IF(N50="","",IF(N50&gt;=Escalas!$A$24,"Crítico",IF(N50&gt;=Escalas!$A$23,"Alto",IF(N50&gt;=Escalas!$A$22,"Medio","Bajo"))))</f>
        <v/>
      </c>
      <c r="P50" s="9"/>
      <c r="Q50" s="9"/>
      <c r="R50" s="9"/>
      <c r="S50" s="12" t="str">
        <f aca="false">IF(OR(Q50="",R50=""),"",Q50*R50)</f>
        <v/>
      </c>
      <c r="T50" s="13" t="str">
        <f aca="false">IF(S50="","",IF(S50&gt;=Escalas!$A$24,"Crítico",IF(S50&gt;=Escalas!$A$23,"Alto",IF(S50&gt;=Escalas!$A$22,"Medio","Bajo"))))</f>
        <v/>
      </c>
      <c r="U50" s="13" t="str">
        <f aca="false">IF(S50="","",IF(S50&lt;=Escalas!$D$28,"Sí","No — requiere aprobación"))</f>
        <v/>
      </c>
      <c r="V50" s="9"/>
    </row>
    <row r="51" customFormat="false" ht="15" hidden="false" customHeight="false" outlineLevel="0" collapsed="false">
      <c r="A51" s="9"/>
      <c r="B51" s="9"/>
      <c r="C51" s="11" t="str">
        <f aca="false">IF(B51="","",IFERROR(INDEX('Inventario de activos'!$B$5:$B$204,MATCH(B51,'Inventario de activos'!$A$5:$A$204,0)),"ID no encontrado"))</f>
        <v/>
      </c>
      <c r="D51" s="9"/>
      <c r="E51" s="11" t="str">
        <f aca="false">IF(D51="","",IFERROR(INDEX('Catálogo de amenazas'!$B$5:$B$204,MATCH(D51,'Catálogo de amenazas'!$A$5:$A$204,0)),"ID no encontrado"))</f>
        <v/>
      </c>
      <c r="F51" s="9"/>
      <c r="G51" s="11" t="str">
        <f aca="false">IF(F51="","",IFERROR(INDEX('Catálogo de vulnerabilidades'!$B$5:$B$204,MATCH(F51,'Catálogo de vulnerabilidades'!$A$5:$A$204,0)),"ID no encontrado"))</f>
        <v/>
      </c>
      <c r="H51" s="8"/>
      <c r="I51" s="9"/>
      <c r="J51" s="8"/>
      <c r="K51" s="8"/>
      <c r="L51" s="9"/>
      <c r="M51" s="9"/>
      <c r="N51" s="12" t="str">
        <f aca="false">IF(OR(L51="",M51=""),"",L51*M51)</f>
        <v/>
      </c>
      <c r="O51" s="13" t="str">
        <f aca="false">IF(N51="","",IF(N51&gt;=Escalas!$A$24,"Crítico",IF(N51&gt;=Escalas!$A$23,"Alto",IF(N51&gt;=Escalas!$A$22,"Medio","Bajo"))))</f>
        <v/>
      </c>
      <c r="P51" s="9"/>
      <c r="Q51" s="9"/>
      <c r="R51" s="9"/>
      <c r="S51" s="12" t="str">
        <f aca="false">IF(OR(Q51="",R51=""),"",Q51*R51)</f>
        <v/>
      </c>
      <c r="T51" s="13" t="str">
        <f aca="false">IF(S51="","",IF(S51&gt;=Escalas!$A$24,"Crítico",IF(S51&gt;=Escalas!$A$23,"Alto",IF(S51&gt;=Escalas!$A$22,"Medio","Bajo"))))</f>
        <v/>
      </c>
      <c r="U51" s="13" t="str">
        <f aca="false">IF(S51="","",IF(S51&lt;=Escalas!$D$28,"Sí","No — requiere aprobación"))</f>
        <v/>
      </c>
      <c r="V51" s="9"/>
    </row>
    <row r="52" customFormat="false" ht="15" hidden="false" customHeight="false" outlineLevel="0" collapsed="false">
      <c r="A52" s="9"/>
      <c r="B52" s="9"/>
      <c r="C52" s="11" t="str">
        <f aca="false">IF(B52="","",IFERROR(INDEX('Inventario de activos'!$B$5:$B$204,MATCH(B52,'Inventario de activos'!$A$5:$A$204,0)),"ID no encontrado"))</f>
        <v/>
      </c>
      <c r="D52" s="9"/>
      <c r="E52" s="11" t="str">
        <f aca="false">IF(D52="","",IFERROR(INDEX('Catálogo de amenazas'!$B$5:$B$204,MATCH(D52,'Catálogo de amenazas'!$A$5:$A$204,0)),"ID no encontrado"))</f>
        <v/>
      </c>
      <c r="F52" s="9"/>
      <c r="G52" s="11" t="str">
        <f aca="false">IF(F52="","",IFERROR(INDEX('Catálogo de vulnerabilidades'!$B$5:$B$204,MATCH(F52,'Catálogo de vulnerabilidades'!$A$5:$A$204,0)),"ID no encontrado"))</f>
        <v/>
      </c>
      <c r="H52" s="8"/>
      <c r="I52" s="9"/>
      <c r="J52" s="8"/>
      <c r="K52" s="8"/>
      <c r="L52" s="9"/>
      <c r="M52" s="9"/>
      <c r="N52" s="12" t="str">
        <f aca="false">IF(OR(L52="",M52=""),"",L52*M52)</f>
        <v/>
      </c>
      <c r="O52" s="13" t="str">
        <f aca="false">IF(N52="","",IF(N52&gt;=Escalas!$A$24,"Crítico",IF(N52&gt;=Escalas!$A$23,"Alto",IF(N52&gt;=Escalas!$A$22,"Medio","Bajo"))))</f>
        <v/>
      </c>
      <c r="P52" s="9"/>
      <c r="Q52" s="9"/>
      <c r="R52" s="9"/>
      <c r="S52" s="12" t="str">
        <f aca="false">IF(OR(Q52="",R52=""),"",Q52*R52)</f>
        <v/>
      </c>
      <c r="T52" s="13" t="str">
        <f aca="false">IF(S52="","",IF(S52&gt;=Escalas!$A$24,"Crítico",IF(S52&gt;=Escalas!$A$23,"Alto",IF(S52&gt;=Escalas!$A$22,"Medio","Bajo"))))</f>
        <v/>
      </c>
      <c r="U52" s="13" t="str">
        <f aca="false">IF(S52="","",IF(S52&lt;=Escalas!$D$28,"Sí","No — requiere aprobación"))</f>
        <v/>
      </c>
      <c r="V52" s="9"/>
    </row>
    <row r="53" customFormat="false" ht="15" hidden="false" customHeight="false" outlineLevel="0" collapsed="false">
      <c r="A53" s="9"/>
      <c r="B53" s="9"/>
      <c r="C53" s="11" t="str">
        <f aca="false">IF(B53="","",IFERROR(INDEX('Inventario de activos'!$B$5:$B$204,MATCH(B53,'Inventario de activos'!$A$5:$A$204,0)),"ID no encontrado"))</f>
        <v/>
      </c>
      <c r="D53" s="9"/>
      <c r="E53" s="11" t="str">
        <f aca="false">IF(D53="","",IFERROR(INDEX('Catálogo de amenazas'!$B$5:$B$204,MATCH(D53,'Catálogo de amenazas'!$A$5:$A$204,0)),"ID no encontrado"))</f>
        <v/>
      </c>
      <c r="F53" s="9"/>
      <c r="G53" s="11" t="str">
        <f aca="false">IF(F53="","",IFERROR(INDEX('Catálogo de vulnerabilidades'!$B$5:$B$204,MATCH(F53,'Catálogo de vulnerabilidades'!$A$5:$A$204,0)),"ID no encontrado"))</f>
        <v/>
      </c>
      <c r="H53" s="8"/>
      <c r="I53" s="9"/>
      <c r="J53" s="8"/>
      <c r="K53" s="8"/>
      <c r="L53" s="9"/>
      <c r="M53" s="9"/>
      <c r="N53" s="12" t="str">
        <f aca="false">IF(OR(L53="",M53=""),"",L53*M53)</f>
        <v/>
      </c>
      <c r="O53" s="13" t="str">
        <f aca="false">IF(N53="","",IF(N53&gt;=Escalas!$A$24,"Crítico",IF(N53&gt;=Escalas!$A$23,"Alto",IF(N53&gt;=Escalas!$A$22,"Medio","Bajo"))))</f>
        <v/>
      </c>
      <c r="P53" s="9"/>
      <c r="Q53" s="9"/>
      <c r="R53" s="9"/>
      <c r="S53" s="12" t="str">
        <f aca="false">IF(OR(Q53="",R53=""),"",Q53*R53)</f>
        <v/>
      </c>
      <c r="T53" s="13" t="str">
        <f aca="false">IF(S53="","",IF(S53&gt;=Escalas!$A$24,"Crítico",IF(S53&gt;=Escalas!$A$23,"Alto",IF(S53&gt;=Escalas!$A$22,"Medio","Bajo"))))</f>
        <v/>
      </c>
      <c r="U53" s="13" t="str">
        <f aca="false">IF(S53="","",IF(S53&lt;=Escalas!$D$28,"Sí","No — requiere aprobación"))</f>
        <v/>
      </c>
      <c r="V53" s="9"/>
    </row>
    <row r="54" customFormat="false" ht="15" hidden="false" customHeight="false" outlineLevel="0" collapsed="false">
      <c r="A54" s="9"/>
      <c r="B54" s="9"/>
      <c r="C54" s="11" t="str">
        <f aca="false">IF(B54="","",IFERROR(INDEX('Inventario de activos'!$B$5:$B$204,MATCH(B54,'Inventario de activos'!$A$5:$A$204,0)),"ID no encontrado"))</f>
        <v/>
      </c>
      <c r="D54" s="9"/>
      <c r="E54" s="11" t="str">
        <f aca="false">IF(D54="","",IFERROR(INDEX('Catálogo de amenazas'!$B$5:$B$204,MATCH(D54,'Catálogo de amenazas'!$A$5:$A$204,0)),"ID no encontrado"))</f>
        <v/>
      </c>
      <c r="F54" s="9"/>
      <c r="G54" s="11" t="str">
        <f aca="false">IF(F54="","",IFERROR(INDEX('Catálogo de vulnerabilidades'!$B$5:$B$204,MATCH(F54,'Catálogo de vulnerabilidades'!$A$5:$A$204,0)),"ID no encontrado"))</f>
        <v/>
      </c>
      <c r="H54" s="8"/>
      <c r="I54" s="9"/>
      <c r="J54" s="8"/>
      <c r="K54" s="8"/>
      <c r="L54" s="9"/>
      <c r="M54" s="9"/>
      <c r="N54" s="12" t="str">
        <f aca="false">IF(OR(L54="",M54=""),"",L54*M54)</f>
        <v/>
      </c>
      <c r="O54" s="13" t="str">
        <f aca="false">IF(N54="","",IF(N54&gt;=Escalas!$A$24,"Crítico",IF(N54&gt;=Escalas!$A$23,"Alto",IF(N54&gt;=Escalas!$A$22,"Medio","Bajo"))))</f>
        <v/>
      </c>
      <c r="P54" s="9"/>
      <c r="Q54" s="9"/>
      <c r="R54" s="9"/>
      <c r="S54" s="12" t="str">
        <f aca="false">IF(OR(Q54="",R54=""),"",Q54*R54)</f>
        <v/>
      </c>
      <c r="T54" s="13" t="str">
        <f aca="false">IF(S54="","",IF(S54&gt;=Escalas!$A$24,"Crítico",IF(S54&gt;=Escalas!$A$23,"Alto",IF(S54&gt;=Escalas!$A$22,"Medio","Bajo"))))</f>
        <v/>
      </c>
      <c r="U54" s="13" t="str">
        <f aca="false">IF(S54="","",IF(S54&lt;=Escalas!$D$28,"Sí","No — requiere aprobación"))</f>
        <v/>
      </c>
      <c r="V54" s="9"/>
    </row>
    <row r="55" customFormat="false" ht="15" hidden="false" customHeight="false" outlineLevel="0" collapsed="false">
      <c r="A55" s="9"/>
      <c r="B55" s="9"/>
      <c r="C55" s="11" t="str">
        <f aca="false">IF(B55="","",IFERROR(INDEX('Inventario de activos'!$B$5:$B$204,MATCH(B55,'Inventario de activos'!$A$5:$A$204,0)),"ID no encontrado"))</f>
        <v/>
      </c>
      <c r="D55" s="9"/>
      <c r="E55" s="11" t="str">
        <f aca="false">IF(D55="","",IFERROR(INDEX('Catálogo de amenazas'!$B$5:$B$204,MATCH(D55,'Catálogo de amenazas'!$A$5:$A$204,0)),"ID no encontrado"))</f>
        <v/>
      </c>
      <c r="F55" s="9"/>
      <c r="G55" s="11" t="str">
        <f aca="false">IF(F55="","",IFERROR(INDEX('Catálogo de vulnerabilidades'!$B$5:$B$204,MATCH(F55,'Catálogo de vulnerabilidades'!$A$5:$A$204,0)),"ID no encontrado"))</f>
        <v/>
      </c>
      <c r="H55" s="8"/>
      <c r="I55" s="9"/>
      <c r="J55" s="8"/>
      <c r="K55" s="8"/>
      <c r="L55" s="9"/>
      <c r="M55" s="9"/>
      <c r="N55" s="12" t="str">
        <f aca="false">IF(OR(L55="",M55=""),"",L55*M55)</f>
        <v/>
      </c>
      <c r="O55" s="13" t="str">
        <f aca="false">IF(N55="","",IF(N55&gt;=Escalas!$A$24,"Crítico",IF(N55&gt;=Escalas!$A$23,"Alto",IF(N55&gt;=Escalas!$A$22,"Medio","Bajo"))))</f>
        <v/>
      </c>
      <c r="P55" s="9"/>
      <c r="Q55" s="9"/>
      <c r="R55" s="9"/>
      <c r="S55" s="12" t="str">
        <f aca="false">IF(OR(Q55="",R55=""),"",Q55*R55)</f>
        <v/>
      </c>
      <c r="T55" s="13" t="str">
        <f aca="false">IF(S55="","",IF(S55&gt;=Escalas!$A$24,"Crítico",IF(S55&gt;=Escalas!$A$23,"Alto",IF(S55&gt;=Escalas!$A$22,"Medio","Bajo"))))</f>
        <v/>
      </c>
      <c r="U55" s="13" t="str">
        <f aca="false">IF(S55="","",IF(S55&lt;=Escalas!$D$28,"Sí","No — requiere aprobación"))</f>
        <v/>
      </c>
      <c r="V55" s="9"/>
    </row>
    <row r="56" customFormat="false" ht="15" hidden="false" customHeight="false" outlineLevel="0" collapsed="false">
      <c r="A56" s="9"/>
      <c r="B56" s="9"/>
      <c r="C56" s="11" t="str">
        <f aca="false">IF(B56="","",IFERROR(INDEX('Inventario de activos'!$B$5:$B$204,MATCH(B56,'Inventario de activos'!$A$5:$A$204,0)),"ID no encontrado"))</f>
        <v/>
      </c>
      <c r="D56" s="9"/>
      <c r="E56" s="11" t="str">
        <f aca="false">IF(D56="","",IFERROR(INDEX('Catálogo de amenazas'!$B$5:$B$204,MATCH(D56,'Catálogo de amenazas'!$A$5:$A$204,0)),"ID no encontrado"))</f>
        <v/>
      </c>
      <c r="F56" s="9"/>
      <c r="G56" s="11" t="str">
        <f aca="false">IF(F56="","",IFERROR(INDEX('Catálogo de vulnerabilidades'!$B$5:$B$204,MATCH(F56,'Catálogo de vulnerabilidades'!$A$5:$A$204,0)),"ID no encontrado"))</f>
        <v/>
      </c>
      <c r="H56" s="8"/>
      <c r="I56" s="9"/>
      <c r="J56" s="8"/>
      <c r="K56" s="8"/>
      <c r="L56" s="9"/>
      <c r="M56" s="9"/>
      <c r="N56" s="12" t="str">
        <f aca="false">IF(OR(L56="",M56=""),"",L56*M56)</f>
        <v/>
      </c>
      <c r="O56" s="13" t="str">
        <f aca="false">IF(N56="","",IF(N56&gt;=Escalas!$A$24,"Crítico",IF(N56&gt;=Escalas!$A$23,"Alto",IF(N56&gt;=Escalas!$A$22,"Medio","Bajo"))))</f>
        <v/>
      </c>
      <c r="P56" s="9"/>
      <c r="Q56" s="9"/>
      <c r="R56" s="9"/>
      <c r="S56" s="12" t="str">
        <f aca="false">IF(OR(Q56="",R56=""),"",Q56*R56)</f>
        <v/>
      </c>
      <c r="T56" s="13" t="str">
        <f aca="false">IF(S56="","",IF(S56&gt;=Escalas!$A$24,"Crítico",IF(S56&gt;=Escalas!$A$23,"Alto",IF(S56&gt;=Escalas!$A$22,"Medio","Bajo"))))</f>
        <v/>
      </c>
      <c r="U56" s="13" t="str">
        <f aca="false">IF(S56="","",IF(S56&lt;=Escalas!$D$28,"Sí","No — requiere aprobación"))</f>
        <v/>
      </c>
      <c r="V56" s="9"/>
    </row>
    <row r="57" customFormat="false" ht="15" hidden="false" customHeight="false" outlineLevel="0" collapsed="false">
      <c r="A57" s="9"/>
      <c r="B57" s="9"/>
      <c r="C57" s="11" t="str">
        <f aca="false">IF(B57="","",IFERROR(INDEX('Inventario de activos'!$B$5:$B$204,MATCH(B57,'Inventario de activos'!$A$5:$A$204,0)),"ID no encontrado"))</f>
        <v/>
      </c>
      <c r="D57" s="9"/>
      <c r="E57" s="11" t="str">
        <f aca="false">IF(D57="","",IFERROR(INDEX('Catálogo de amenazas'!$B$5:$B$204,MATCH(D57,'Catálogo de amenazas'!$A$5:$A$204,0)),"ID no encontrado"))</f>
        <v/>
      </c>
      <c r="F57" s="9"/>
      <c r="G57" s="11" t="str">
        <f aca="false">IF(F57="","",IFERROR(INDEX('Catálogo de vulnerabilidades'!$B$5:$B$204,MATCH(F57,'Catálogo de vulnerabilidades'!$A$5:$A$204,0)),"ID no encontrado"))</f>
        <v/>
      </c>
      <c r="H57" s="8"/>
      <c r="I57" s="9"/>
      <c r="J57" s="8"/>
      <c r="K57" s="8"/>
      <c r="L57" s="9"/>
      <c r="M57" s="9"/>
      <c r="N57" s="12" t="str">
        <f aca="false">IF(OR(L57="",M57=""),"",L57*M57)</f>
        <v/>
      </c>
      <c r="O57" s="13" t="str">
        <f aca="false">IF(N57="","",IF(N57&gt;=Escalas!$A$24,"Crítico",IF(N57&gt;=Escalas!$A$23,"Alto",IF(N57&gt;=Escalas!$A$22,"Medio","Bajo"))))</f>
        <v/>
      </c>
      <c r="P57" s="9"/>
      <c r="Q57" s="9"/>
      <c r="R57" s="9"/>
      <c r="S57" s="12" t="str">
        <f aca="false">IF(OR(Q57="",R57=""),"",Q57*R57)</f>
        <v/>
      </c>
      <c r="T57" s="13" t="str">
        <f aca="false">IF(S57="","",IF(S57&gt;=Escalas!$A$24,"Crítico",IF(S57&gt;=Escalas!$A$23,"Alto",IF(S57&gt;=Escalas!$A$22,"Medio","Bajo"))))</f>
        <v/>
      </c>
      <c r="U57" s="13" t="str">
        <f aca="false">IF(S57="","",IF(S57&lt;=Escalas!$D$28,"Sí","No — requiere aprobación"))</f>
        <v/>
      </c>
      <c r="V57" s="9"/>
    </row>
    <row r="58" customFormat="false" ht="15" hidden="false" customHeight="false" outlineLevel="0" collapsed="false">
      <c r="A58" s="9"/>
      <c r="B58" s="9"/>
      <c r="C58" s="11" t="str">
        <f aca="false">IF(B58="","",IFERROR(INDEX('Inventario de activos'!$B$5:$B$204,MATCH(B58,'Inventario de activos'!$A$5:$A$204,0)),"ID no encontrado"))</f>
        <v/>
      </c>
      <c r="D58" s="9"/>
      <c r="E58" s="11" t="str">
        <f aca="false">IF(D58="","",IFERROR(INDEX('Catálogo de amenazas'!$B$5:$B$204,MATCH(D58,'Catálogo de amenazas'!$A$5:$A$204,0)),"ID no encontrado"))</f>
        <v/>
      </c>
      <c r="F58" s="9"/>
      <c r="G58" s="11" t="str">
        <f aca="false">IF(F58="","",IFERROR(INDEX('Catálogo de vulnerabilidades'!$B$5:$B$204,MATCH(F58,'Catálogo de vulnerabilidades'!$A$5:$A$204,0)),"ID no encontrado"))</f>
        <v/>
      </c>
      <c r="H58" s="8"/>
      <c r="I58" s="9"/>
      <c r="J58" s="8"/>
      <c r="K58" s="8"/>
      <c r="L58" s="9"/>
      <c r="M58" s="9"/>
      <c r="N58" s="12" t="str">
        <f aca="false">IF(OR(L58="",M58=""),"",L58*M58)</f>
        <v/>
      </c>
      <c r="O58" s="13" t="str">
        <f aca="false">IF(N58="","",IF(N58&gt;=Escalas!$A$24,"Crítico",IF(N58&gt;=Escalas!$A$23,"Alto",IF(N58&gt;=Escalas!$A$22,"Medio","Bajo"))))</f>
        <v/>
      </c>
      <c r="P58" s="9"/>
      <c r="Q58" s="9"/>
      <c r="R58" s="9"/>
      <c r="S58" s="12" t="str">
        <f aca="false">IF(OR(Q58="",R58=""),"",Q58*R58)</f>
        <v/>
      </c>
      <c r="T58" s="13" t="str">
        <f aca="false">IF(S58="","",IF(S58&gt;=Escalas!$A$24,"Crítico",IF(S58&gt;=Escalas!$A$23,"Alto",IF(S58&gt;=Escalas!$A$22,"Medio","Bajo"))))</f>
        <v/>
      </c>
      <c r="U58" s="13" t="str">
        <f aca="false">IF(S58="","",IF(S58&lt;=Escalas!$D$28,"Sí","No — requiere aprobación"))</f>
        <v/>
      </c>
      <c r="V58" s="9"/>
    </row>
    <row r="59" customFormat="false" ht="15" hidden="false" customHeight="false" outlineLevel="0" collapsed="false">
      <c r="A59" s="9"/>
      <c r="B59" s="9"/>
      <c r="C59" s="11" t="str">
        <f aca="false">IF(B59="","",IFERROR(INDEX('Inventario de activos'!$B$5:$B$204,MATCH(B59,'Inventario de activos'!$A$5:$A$204,0)),"ID no encontrado"))</f>
        <v/>
      </c>
      <c r="D59" s="9"/>
      <c r="E59" s="11" t="str">
        <f aca="false">IF(D59="","",IFERROR(INDEX('Catálogo de amenazas'!$B$5:$B$204,MATCH(D59,'Catálogo de amenazas'!$A$5:$A$204,0)),"ID no encontrado"))</f>
        <v/>
      </c>
      <c r="F59" s="9"/>
      <c r="G59" s="11" t="str">
        <f aca="false">IF(F59="","",IFERROR(INDEX('Catálogo de vulnerabilidades'!$B$5:$B$204,MATCH(F59,'Catálogo de vulnerabilidades'!$A$5:$A$204,0)),"ID no encontrado"))</f>
        <v/>
      </c>
      <c r="H59" s="8"/>
      <c r="I59" s="9"/>
      <c r="J59" s="8"/>
      <c r="K59" s="8"/>
      <c r="L59" s="9"/>
      <c r="M59" s="9"/>
      <c r="N59" s="12" t="str">
        <f aca="false">IF(OR(L59="",M59=""),"",L59*M59)</f>
        <v/>
      </c>
      <c r="O59" s="13" t="str">
        <f aca="false">IF(N59="","",IF(N59&gt;=Escalas!$A$24,"Crítico",IF(N59&gt;=Escalas!$A$23,"Alto",IF(N59&gt;=Escalas!$A$22,"Medio","Bajo"))))</f>
        <v/>
      </c>
      <c r="P59" s="9"/>
      <c r="Q59" s="9"/>
      <c r="R59" s="9"/>
      <c r="S59" s="12" t="str">
        <f aca="false">IF(OR(Q59="",R59=""),"",Q59*R59)</f>
        <v/>
      </c>
      <c r="T59" s="13" t="str">
        <f aca="false">IF(S59="","",IF(S59&gt;=Escalas!$A$24,"Crítico",IF(S59&gt;=Escalas!$A$23,"Alto",IF(S59&gt;=Escalas!$A$22,"Medio","Bajo"))))</f>
        <v/>
      </c>
      <c r="U59" s="13" t="str">
        <f aca="false">IF(S59="","",IF(S59&lt;=Escalas!$D$28,"Sí","No — requiere aprobación"))</f>
        <v/>
      </c>
      <c r="V59" s="9"/>
    </row>
    <row r="60" customFormat="false" ht="15" hidden="false" customHeight="false" outlineLevel="0" collapsed="false">
      <c r="A60" s="9"/>
      <c r="B60" s="9"/>
      <c r="C60" s="11" t="str">
        <f aca="false">IF(B60="","",IFERROR(INDEX('Inventario de activos'!$B$5:$B$204,MATCH(B60,'Inventario de activos'!$A$5:$A$204,0)),"ID no encontrado"))</f>
        <v/>
      </c>
      <c r="D60" s="9"/>
      <c r="E60" s="11" t="str">
        <f aca="false">IF(D60="","",IFERROR(INDEX('Catálogo de amenazas'!$B$5:$B$204,MATCH(D60,'Catálogo de amenazas'!$A$5:$A$204,0)),"ID no encontrado"))</f>
        <v/>
      </c>
      <c r="F60" s="9"/>
      <c r="G60" s="11" t="str">
        <f aca="false">IF(F60="","",IFERROR(INDEX('Catálogo de vulnerabilidades'!$B$5:$B$204,MATCH(F60,'Catálogo de vulnerabilidades'!$A$5:$A$204,0)),"ID no encontrado"))</f>
        <v/>
      </c>
      <c r="H60" s="8"/>
      <c r="I60" s="9"/>
      <c r="J60" s="8"/>
      <c r="K60" s="8"/>
      <c r="L60" s="9"/>
      <c r="M60" s="9"/>
      <c r="N60" s="12" t="str">
        <f aca="false">IF(OR(L60="",M60=""),"",L60*M60)</f>
        <v/>
      </c>
      <c r="O60" s="13" t="str">
        <f aca="false">IF(N60="","",IF(N60&gt;=Escalas!$A$24,"Crítico",IF(N60&gt;=Escalas!$A$23,"Alto",IF(N60&gt;=Escalas!$A$22,"Medio","Bajo"))))</f>
        <v/>
      </c>
      <c r="P60" s="9"/>
      <c r="Q60" s="9"/>
      <c r="R60" s="9"/>
      <c r="S60" s="12" t="str">
        <f aca="false">IF(OR(Q60="",R60=""),"",Q60*R60)</f>
        <v/>
      </c>
      <c r="T60" s="13" t="str">
        <f aca="false">IF(S60="","",IF(S60&gt;=Escalas!$A$24,"Crítico",IF(S60&gt;=Escalas!$A$23,"Alto",IF(S60&gt;=Escalas!$A$22,"Medio","Bajo"))))</f>
        <v/>
      </c>
      <c r="U60" s="13" t="str">
        <f aca="false">IF(S60="","",IF(S60&lt;=Escalas!$D$28,"Sí","No — requiere aprobación"))</f>
        <v/>
      </c>
      <c r="V60" s="9"/>
    </row>
    <row r="61" customFormat="false" ht="15" hidden="false" customHeight="false" outlineLevel="0" collapsed="false">
      <c r="A61" s="9"/>
      <c r="B61" s="9"/>
      <c r="C61" s="11" t="str">
        <f aca="false">IF(B61="","",IFERROR(INDEX('Inventario de activos'!$B$5:$B$204,MATCH(B61,'Inventario de activos'!$A$5:$A$204,0)),"ID no encontrado"))</f>
        <v/>
      </c>
      <c r="D61" s="9"/>
      <c r="E61" s="11" t="str">
        <f aca="false">IF(D61="","",IFERROR(INDEX('Catálogo de amenazas'!$B$5:$B$204,MATCH(D61,'Catálogo de amenazas'!$A$5:$A$204,0)),"ID no encontrado"))</f>
        <v/>
      </c>
      <c r="F61" s="9"/>
      <c r="G61" s="11" t="str">
        <f aca="false">IF(F61="","",IFERROR(INDEX('Catálogo de vulnerabilidades'!$B$5:$B$204,MATCH(F61,'Catálogo de vulnerabilidades'!$A$5:$A$204,0)),"ID no encontrado"))</f>
        <v/>
      </c>
      <c r="H61" s="8"/>
      <c r="I61" s="9"/>
      <c r="J61" s="8"/>
      <c r="K61" s="8"/>
      <c r="L61" s="9"/>
      <c r="M61" s="9"/>
      <c r="N61" s="12" t="str">
        <f aca="false">IF(OR(L61="",M61=""),"",L61*M61)</f>
        <v/>
      </c>
      <c r="O61" s="13" t="str">
        <f aca="false">IF(N61="","",IF(N61&gt;=Escalas!$A$24,"Crítico",IF(N61&gt;=Escalas!$A$23,"Alto",IF(N61&gt;=Escalas!$A$22,"Medio","Bajo"))))</f>
        <v/>
      </c>
      <c r="P61" s="9"/>
      <c r="Q61" s="9"/>
      <c r="R61" s="9"/>
      <c r="S61" s="12" t="str">
        <f aca="false">IF(OR(Q61="",R61=""),"",Q61*R61)</f>
        <v/>
      </c>
      <c r="T61" s="13" t="str">
        <f aca="false">IF(S61="","",IF(S61&gt;=Escalas!$A$24,"Crítico",IF(S61&gt;=Escalas!$A$23,"Alto",IF(S61&gt;=Escalas!$A$22,"Medio","Bajo"))))</f>
        <v/>
      </c>
      <c r="U61" s="13" t="str">
        <f aca="false">IF(S61="","",IF(S61&lt;=Escalas!$D$28,"Sí","No — requiere aprobación"))</f>
        <v/>
      </c>
      <c r="V61" s="9"/>
    </row>
    <row r="62" customFormat="false" ht="15" hidden="false" customHeight="false" outlineLevel="0" collapsed="false">
      <c r="A62" s="9"/>
      <c r="B62" s="9"/>
      <c r="C62" s="11" t="str">
        <f aca="false">IF(B62="","",IFERROR(INDEX('Inventario de activos'!$B$5:$B$204,MATCH(B62,'Inventario de activos'!$A$5:$A$204,0)),"ID no encontrado"))</f>
        <v/>
      </c>
      <c r="D62" s="9"/>
      <c r="E62" s="11" t="str">
        <f aca="false">IF(D62="","",IFERROR(INDEX('Catálogo de amenazas'!$B$5:$B$204,MATCH(D62,'Catálogo de amenazas'!$A$5:$A$204,0)),"ID no encontrado"))</f>
        <v/>
      </c>
      <c r="F62" s="9"/>
      <c r="G62" s="11" t="str">
        <f aca="false">IF(F62="","",IFERROR(INDEX('Catálogo de vulnerabilidades'!$B$5:$B$204,MATCH(F62,'Catálogo de vulnerabilidades'!$A$5:$A$204,0)),"ID no encontrado"))</f>
        <v/>
      </c>
      <c r="H62" s="8"/>
      <c r="I62" s="9"/>
      <c r="J62" s="8"/>
      <c r="K62" s="8"/>
      <c r="L62" s="9"/>
      <c r="M62" s="9"/>
      <c r="N62" s="12" t="str">
        <f aca="false">IF(OR(L62="",M62=""),"",L62*M62)</f>
        <v/>
      </c>
      <c r="O62" s="13" t="str">
        <f aca="false">IF(N62="","",IF(N62&gt;=Escalas!$A$24,"Crítico",IF(N62&gt;=Escalas!$A$23,"Alto",IF(N62&gt;=Escalas!$A$22,"Medio","Bajo"))))</f>
        <v/>
      </c>
      <c r="P62" s="9"/>
      <c r="Q62" s="9"/>
      <c r="R62" s="9"/>
      <c r="S62" s="12" t="str">
        <f aca="false">IF(OR(Q62="",R62=""),"",Q62*R62)</f>
        <v/>
      </c>
      <c r="T62" s="13" t="str">
        <f aca="false">IF(S62="","",IF(S62&gt;=Escalas!$A$24,"Crítico",IF(S62&gt;=Escalas!$A$23,"Alto",IF(S62&gt;=Escalas!$A$22,"Medio","Bajo"))))</f>
        <v/>
      </c>
      <c r="U62" s="13" t="str">
        <f aca="false">IF(S62="","",IF(S62&lt;=Escalas!$D$28,"Sí","No — requiere aprobación"))</f>
        <v/>
      </c>
      <c r="V62" s="9"/>
    </row>
    <row r="63" customFormat="false" ht="15" hidden="false" customHeight="false" outlineLevel="0" collapsed="false">
      <c r="A63" s="9"/>
      <c r="B63" s="9"/>
      <c r="C63" s="11" t="str">
        <f aca="false">IF(B63="","",IFERROR(INDEX('Inventario de activos'!$B$5:$B$204,MATCH(B63,'Inventario de activos'!$A$5:$A$204,0)),"ID no encontrado"))</f>
        <v/>
      </c>
      <c r="D63" s="9"/>
      <c r="E63" s="11" t="str">
        <f aca="false">IF(D63="","",IFERROR(INDEX('Catálogo de amenazas'!$B$5:$B$204,MATCH(D63,'Catálogo de amenazas'!$A$5:$A$204,0)),"ID no encontrado"))</f>
        <v/>
      </c>
      <c r="F63" s="9"/>
      <c r="G63" s="11" t="str">
        <f aca="false">IF(F63="","",IFERROR(INDEX('Catálogo de vulnerabilidades'!$B$5:$B$204,MATCH(F63,'Catálogo de vulnerabilidades'!$A$5:$A$204,0)),"ID no encontrado"))</f>
        <v/>
      </c>
      <c r="H63" s="8"/>
      <c r="I63" s="9"/>
      <c r="J63" s="8"/>
      <c r="K63" s="8"/>
      <c r="L63" s="9"/>
      <c r="M63" s="9"/>
      <c r="N63" s="12" t="str">
        <f aca="false">IF(OR(L63="",M63=""),"",L63*M63)</f>
        <v/>
      </c>
      <c r="O63" s="13" t="str">
        <f aca="false">IF(N63="","",IF(N63&gt;=Escalas!$A$24,"Crítico",IF(N63&gt;=Escalas!$A$23,"Alto",IF(N63&gt;=Escalas!$A$22,"Medio","Bajo"))))</f>
        <v/>
      </c>
      <c r="P63" s="9"/>
      <c r="Q63" s="9"/>
      <c r="R63" s="9"/>
      <c r="S63" s="12" t="str">
        <f aca="false">IF(OR(Q63="",R63=""),"",Q63*R63)</f>
        <v/>
      </c>
      <c r="T63" s="13" t="str">
        <f aca="false">IF(S63="","",IF(S63&gt;=Escalas!$A$24,"Crítico",IF(S63&gt;=Escalas!$A$23,"Alto",IF(S63&gt;=Escalas!$A$22,"Medio","Bajo"))))</f>
        <v/>
      </c>
      <c r="U63" s="13" t="str">
        <f aca="false">IF(S63="","",IF(S63&lt;=Escalas!$D$28,"Sí","No — requiere aprobación"))</f>
        <v/>
      </c>
      <c r="V63" s="9"/>
    </row>
    <row r="64" customFormat="false" ht="15" hidden="false" customHeight="false" outlineLevel="0" collapsed="false">
      <c r="A64" s="9"/>
      <c r="B64" s="9"/>
      <c r="C64" s="11" t="str">
        <f aca="false">IF(B64="","",IFERROR(INDEX('Inventario de activos'!$B$5:$B$204,MATCH(B64,'Inventario de activos'!$A$5:$A$204,0)),"ID no encontrado"))</f>
        <v/>
      </c>
      <c r="D64" s="9"/>
      <c r="E64" s="11" t="str">
        <f aca="false">IF(D64="","",IFERROR(INDEX('Catálogo de amenazas'!$B$5:$B$204,MATCH(D64,'Catálogo de amenazas'!$A$5:$A$204,0)),"ID no encontrado"))</f>
        <v/>
      </c>
      <c r="F64" s="9"/>
      <c r="G64" s="11" t="str">
        <f aca="false">IF(F64="","",IFERROR(INDEX('Catálogo de vulnerabilidades'!$B$5:$B$204,MATCH(F64,'Catálogo de vulnerabilidades'!$A$5:$A$204,0)),"ID no encontrado"))</f>
        <v/>
      </c>
      <c r="H64" s="8"/>
      <c r="I64" s="9"/>
      <c r="J64" s="8"/>
      <c r="K64" s="8"/>
      <c r="L64" s="9"/>
      <c r="M64" s="9"/>
      <c r="N64" s="12" t="str">
        <f aca="false">IF(OR(L64="",M64=""),"",L64*M64)</f>
        <v/>
      </c>
      <c r="O64" s="13" t="str">
        <f aca="false">IF(N64="","",IF(N64&gt;=Escalas!$A$24,"Crítico",IF(N64&gt;=Escalas!$A$23,"Alto",IF(N64&gt;=Escalas!$A$22,"Medio","Bajo"))))</f>
        <v/>
      </c>
      <c r="P64" s="9"/>
      <c r="Q64" s="9"/>
      <c r="R64" s="9"/>
      <c r="S64" s="12" t="str">
        <f aca="false">IF(OR(Q64="",R64=""),"",Q64*R64)</f>
        <v/>
      </c>
      <c r="T64" s="13" t="str">
        <f aca="false">IF(S64="","",IF(S64&gt;=Escalas!$A$24,"Crítico",IF(S64&gt;=Escalas!$A$23,"Alto",IF(S64&gt;=Escalas!$A$22,"Medio","Bajo"))))</f>
        <v/>
      </c>
      <c r="U64" s="13" t="str">
        <f aca="false">IF(S64="","",IF(S64&lt;=Escalas!$D$28,"Sí","No — requiere aprobación"))</f>
        <v/>
      </c>
      <c r="V64" s="9"/>
    </row>
    <row r="65" customFormat="false" ht="15" hidden="false" customHeight="false" outlineLevel="0" collapsed="false">
      <c r="A65" s="9"/>
      <c r="B65" s="9"/>
      <c r="C65" s="11" t="str">
        <f aca="false">IF(B65="","",IFERROR(INDEX('Inventario de activos'!$B$5:$B$204,MATCH(B65,'Inventario de activos'!$A$5:$A$204,0)),"ID no encontrado"))</f>
        <v/>
      </c>
      <c r="D65" s="9"/>
      <c r="E65" s="11" t="str">
        <f aca="false">IF(D65="","",IFERROR(INDEX('Catálogo de amenazas'!$B$5:$B$204,MATCH(D65,'Catálogo de amenazas'!$A$5:$A$204,0)),"ID no encontrado"))</f>
        <v/>
      </c>
      <c r="F65" s="9"/>
      <c r="G65" s="11" t="str">
        <f aca="false">IF(F65="","",IFERROR(INDEX('Catálogo de vulnerabilidades'!$B$5:$B$204,MATCH(F65,'Catálogo de vulnerabilidades'!$A$5:$A$204,0)),"ID no encontrado"))</f>
        <v/>
      </c>
      <c r="H65" s="8"/>
      <c r="I65" s="9"/>
      <c r="J65" s="8"/>
      <c r="K65" s="8"/>
      <c r="L65" s="9"/>
      <c r="M65" s="9"/>
      <c r="N65" s="12" t="str">
        <f aca="false">IF(OR(L65="",M65=""),"",L65*M65)</f>
        <v/>
      </c>
      <c r="O65" s="13" t="str">
        <f aca="false">IF(N65="","",IF(N65&gt;=Escalas!$A$24,"Crítico",IF(N65&gt;=Escalas!$A$23,"Alto",IF(N65&gt;=Escalas!$A$22,"Medio","Bajo"))))</f>
        <v/>
      </c>
      <c r="P65" s="9"/>
      <c r="Q65" s="9"/>
      <c r="R65" s="9"/>
      <c r="S65" s="12" t="str">
        <f aca="false">IF(OR(Q65="",R65=""),"",Q65*R65)</f>
        <v/>
      </c>
      <c r="T65" s="13" t="str">
        <f aca="false">IF(S65="","",IF(S65&gt;=Escalas!$A$24,"Crítico",IF(S65&gt;=Escalas!$A$23,"Alto",IF(S65&gt;=Escalas!$A$22,"Medio","Bajo"))))</f>
        <v/>
      </c>
      <c r="U65" s="13" t="str">
        <f aca="false">IF(S65="","",IF(S65&lt;=Escalas!$D$28,"Sí","No — requiere aprobación"))</f>
        <v/>
      </c>
      <c r="V65" s="9"/>
    </row>
    <row r="66" customFormat="false" ht="15" hidden="false" customHeight="false" outlineLevel="0" collapsed="false">
      <c r="A66" s="9"/>
      <c r="B66" s="9"/>
      <c r="C66" s="11" t="str">
        <f aca="false">IF(B66="","",IFERROR(INDEX('Inventario de activos'!$B$5:$B$204,MATCH(B66,'Inventario de activos'!$A$5:$A$204,0)),"ID no encontrado"))</f>
        <v/>
      </c>
      <c r="D66" s="9"/>
      <c r="E66" s="11" t="str">
        <f aca="false">IF(D66="","",IFERROR(INDEX('Catálogo de amenazas'!$B$5:$B$204,MATCH(D66,'Catálogo de amenazas'!$A$5:$A$204,0)),"ID no encontrado"))</f>
        <v/>
      </c>
      <c r="F66" s="9"/>
      <c r="G66" s="11" t="str">
        <f aca="false">IF(F66="","",IFERROR(INDEX('Catálogo de vulnerabilidades'!$B$5:$B$204,MATCH(F66,'Catálogo de vulnerabilidades'!$A$5:$A$204,0)),"ID no encontrado"))</f>
        <v/>
      </c>
      <c r="H66" s="8"/>
      <c r="I66" s="9"/>
      <c r="J66" s="8"/>
      <c r="K66" s="8"/>
      <c r="L66" s="9"/>
      <c r="M66" s="9"/>
      <c r="N66" s="12" t="str">
        <f aca="false">IF(OR(L66="",M66=""),"",L66*M66)</f>
        <v/>
      </c>
      <c r="O66" s="13" t="str">
        <f aca="false">IF(N66="","",IF(N66&gt;=Escalas!$A$24,"Crítico",IF(N66&gt;=Escalas!$A$23,"Alto",IF(N66&gt;=Escalas!$A$22,"Medio","Bajo"))))</f>
        <v/>
      </c>
      <c r="P66" s="9"/>
      <c r="Q66" s="9"/>
      <c r="R66" s="9"/>
      <c r="S66" s="12" t="str">
        <f aca="false">IF(OR(Q66="",R66=""),"",Q66*R66)</f>
        <v/>
      </c>
      <c r="T66" s="13" t="str">
        <f aca="false">IF(S66="","",IF(S66&gt;=Escalas!$A$24,"Crítico",IF(S66&gt;=Escalas!$A$23,"Alto",IF(S66&gt;=Escalas!$A$22,"Medio","Bajo"))))</f>
        <v/>
      </c>
      <c r="U66" s="13" t="str">
        <f aca="false">IF(S66="","",IF(S66&lt;=Escalas!$D$28,"Sí","No — requiere aprobación"))</f>
        <v/>
      </c>
      <c r="V66" s="9"/>
    </row>
    <row r="67" customFormat="false" ht="15" hidden="false" customHeight="false" outlineLevel="0" collapsed="false">
      <c r="A67" s="9"/>
      <c r="B67" s="9"/>
      <c r="C67" s="11" t="str">
        <f aca="false">IF(B67="","",IFERROR(INDEX('Inventario de activos'!$B$5:$B$204,MATCH(B67,'Inventario de activos'!$A$5:$A$204,0)),"ID no encontrado"))</f>
        <v/>
      </c>
      <c r="D67" s="9"/>
      <c r="E67" s="11" t="str">
        <f aca="false">IF(D67="","",IFERROR(INDEX('Catálogo de amenazas'!$B$5:$B$204,MATCH(D67,'Catálogo de amenazas'!$A$5:$A$204,0)),"ID no encontrado"))</f>
        <v/>
      </c>
      <c r="F67" s="9"/>
      <c r="G67" s="11" t="str">
        <f aca="false">IF(F67="","",IFERROR(INDEX('Catálogo de vulnerabilidades'!$B$5:$B$204,MATCH(F67,'Catálogo de vulnerabilidades'!$A$5:$A$204,0)),"ID no encontrado"))</f>
        <v/>
      </c>
      <c r="H67" s="8"/>
      <c r="I67" s="9"/>
      <c r="J67" s="8"/>
      <c r="K67" s="8"/>
      <c r="L67" s="9"/>
      <c r="M67" s="9"/>
      <c r="N67" s="12" t="str">
        <f aca="false">IF(OR(L67="",M67=""),"",L67*M67)</f>
        <v/>
      </c>
      <c r="O67" s="13" t="str">
        <f aca="false">IF(N67="","",IF(N67&gt;=Escalas!$A$24,"Crítico",IF(N67&gt;=Escalas!$A$23,"Alto",IF(N67&gt;=Escalas!$A$22,"Medio","Bajo"))))</f>
        <v/>
      </c>
      <c r="P67" s="9"/>
      <c r="Q67" s="9"/>
      <c r="R67" s="9"/>
      <c r="S67" s="12" t="str">
        <f aca="false">IF(OR(Q67="",R67=""),"",Q67*R67)</f>
        <v/>
      </c>
      <c r="T67" s="13" t="str">
        <f aca="false">IF(S67="","",IF(S67&gt;=Escalas!$A$24,"Crítico",IF(S67&gt;=Escalas!$A$23,"Alto",IF(S67&gt;=Escalas!$A$22,"Medio","Bajo"))))</f>
        <v/>
      </c>
      <c r="U67" s="13" t="str">
        <f aca="false">IF(S67="","",IF(S67&lt;=Escalas!$D$28,"Sí","No — requiere aprobación"))</f>
        <v/>
      </c>
      <c r="V67" s="9"/>
    </row>
    <row r="68" customFormat="false" ht="15" hidden="false" customHeight="false" outlineLevel="0" collapsed="false">
      <c r="A68" s="9"/>
      <c r="B68" s="9"/>
      <c r="C68" s="11" t="str">
        <f aca="false">IF(B68="","",IFERROR(INDEX('Inventario de activos'!$B$5:$B$204,MATCH(B68,'Inventario de activos'!$A$5:$A$204,0)),"ID no encontrado"))</f>
        <v/>
      </c>
      <c r="D68" s="9"/>
      <c r="E68" s="11" t="str">
        <f aca="false">IF(D68="","",IFERROR(INDEX('Catálogo de amenazas'!$B$5:$B$204,MATCH(D68,'Catálogo de amenazas'!$A$5:$A$204,0)),"ID no encontrado"))</f>
        <v/>
      </c>
      <c r="F68" s="9"/>
      <c r="G68" s="11" t="str">
        <f aca="false">IF(F68="","",IFERROR(INDEX('Catálogo de vulnerabilidades'!$B$5:$B$204,MATCH(F68,'Catálogo de vulnerabilidades'!$A$5:$A$204,0)),"ID no encontrado"))</f>
        <v/>
      </c>
      <c r="H68" s="8"/>
      <c r="I68" s="9"/>
      <c r="J68" s="8"/>
      <c r="K68" s="8"/>
      <c r="L68" s="9"/>
      <c r="M68" s="9"/>
      <c r="N68" s="12" t="str">
        <f aca="false">IF(OR(L68="",M68=""),"",L68*M68)</f>
        <v/>
      </c>
      <c r="O68" s="13" t="str">
        <f aca="false">IF(N68="","",IF(N68&gt;=Escalas!$A$24,"Crítico",IF(N68&gt;=Escalas!$A$23,"Alto",IF(N68&gt;=Escalas!$A$22,"Medio","Bajo"))))</f>
        <v/>
      </c>
      <c r="P68" s="9"/>
      <c r="Q68" s="9"/>
      <c r="R68" s="9"/>
      <c r="S68" s="12" t="str">
        <f aca="false">IF(OR(Q68="",R68=""),"",Q68*R68)</f>
        <v/>
      </c>
      <c r="T68" s="13" t="str">
        <f aca="false">IF(S68="","",IF(S68&gt;=Escalas!$A$24,"Crítico",IF(S68&gt;=Escalas!$A$23,"Alto",IF(S68&gt;=Escalas!$A$22,"Medio","Bajo"))))</f>
        <v/>
      </c>
      <c r="U68" s="13" t="str">
        <f aca="false">IF(S68="","",IF(S68&lt;=Escalas!$D$28,"Sí","No — requiere aprobación"))</f>
        <v/>
      </c>
      <c r="V68" s="9"/>
    </row>
    <row r="69" customFormat="false" ht="15" hidden="false" customHeight="false" outlineLevel="0" collapsed="false">
      <c r="A69" s="9"/>
      <c r="B69" s="9"/>
      <c r="C69" s="11" t="str">
        <f aca="false">IF(B69="","",IFERROR(INDEX('Inventario de activos'!$B$5:$B$204,MATCH(B69,'Inventario de activos'!$A$5:$A$204,0)),"ID no encontrado"))</f>
        <v/>
      </c>
      <c r="D69" s="9"/>
      <c r="E69" s="11" t="str">
        <f aca="false">IF(D69="","",IFERROR(INDEX('Catálogo de amenazas'!$B$5:$B$204,MATCH(D69,'Catálogo de amenazas'!$A$5:$A$204,0)),"ID no encontrado"))</f>
        <v/>
      </c>
      <c r="F69" s="9"/>
      <c r="G69" s="11" t="str">
        <f aca="false">IF(F69="","",IFERROR(INDEX('Catálogo de vulnerabilidades'!$B$5:$B$204,MATCH(F69,'Catálogo de vulnerabilidades'!$A$5:$A$204,0)),"ID no encontrado"))</f>
        <v/>
      </c>
      <c r="H69" s="8"/>
      <c r="I69" s="9"/>
      <c r="J69" s="8"/>
      <c r="K69" s="8"/>
      <c r="L69" s="9"/>
      <c r="M69" s="9"/>
      <c r="N69" s="12" t="str">
        <f aca="false">IF(OR(L69="",M69=""),"",L69*M69)</f>
        <v/>
      </c>
      <c r="O69" s="13" t="str">
        <f aca="false">IF(N69="","",IF(N69&gt;=Escalas!$A$24,"Crítico",IF(N69&gt;=Escalas!$A$23,"Alto",IF(N69&gt;=Escalas!$A$22,"Medio","Bajo"))))</f>
        <v/>
      </c>
      <c r="P69" s="9"/>
      <c r="Q69" s="9"/>
      <c r="R69" s="9"/>
      <c r="S69" s="12" t="str">
        <f aca="false">IF(OR(Q69="",R69=""),"",Q69*R69)</f>
        <v/>
      </c>
      <c r="T69" s="13" t="str">
        <f aca="false">IF(S69="","",IF(S69&gt;=Escalas!$A$24,"Crítico",IF(S69&gt;=Escalas!$A$23,"Alto",IF(S69&gt;=Escalas!$A$22,"Medio","Bajo"))))</f>
        <v/>
      </c>
      <c r="U69" s="13" t="str">
        <f aca="false">IF(S69="","",IF(S69&lt;=Escalas!$D$28,"Sí","No — requiere aprobación"))</f>
        <v/>
      </c>
      <c r="V69" s="9"/>
    </row>
    <row r="70" customFormat="false" ht="15" hidden="false" customHeight="false" outlineLevel="0" collapsed="false">
      <c r="A70" s="9"/>
      <c r="B70" s="9"/>
      <c r="C70" s="11" t="str">
        <f aca="false">IF(B70="","",IFERROR(INDEX('Inventario de activos'!$B$5:$B$204,MATCH(B70,'Inventario de activos'!$A$5:$A$204,0)),"ID no encontrado"))</f>
        <v/>
      </c>
      <c r="D70" s="9"/>
      <c r="E70" s="11" t="str">
        <f aca="false">IF(D70="","",IFERROR(INDEX('Catálogo de amenazas'!$B$5:$B$204,MATCH(D70,'Catálogo de amenazas'!$A$5:$A$204,0)),"ID no encontrado"))</f>
        <v/>
      </c>
      <c r="F70" s="9"/>
      <c r="G70" s="11" t="str">
        <f aca="false">IF(F70="","",IFERROR(INDEX('Catálogo de vulnerabilidades'!$B$5:$B$204,MATCH(F70,'Catálogo de vulnerabilidades'!$A$5:$A$204,0)),"ID no encontrado"))</f>
        <v/>
      </c>
      <c r="H70" s="8"/>
      <c r="I70" s="9"/>
      <c r="J70" s="8"/>
      <c r="K70" s="8"/>
      <c r="L70" s="9"/>
      <c r="M70" s="9"/>
      <c r="N70" s="12" t="str">
        <f aca="false">IF(OR(L70="",M70=""),"",L70*M70)</f>
        <v/>
      </c>
      <c r="O70" s="13" t="str">
        <f aca="false">IF(N70="","",IF(N70&gt;=Escalas!$A$24,"Crítico",IF(N70&gt;=Escalas!$A$23,"Alto",IF(N70&gt;=Escalas!$A$22,"Medio","Bajo"))))</f>
        <v/>
      </c>
      <c r="P70" s="9"/>
      <c r="Q70" s="9"/>
      <c r="R70" s="9"/>
      <c r="S70" s="12" t="str">
        <f aca="false">IF(OR(Q70="",R70=""),"",Q70*R70)</f>
        <v/>
      </c>
      <c r="T70" s="13" t="str">
        <f aca="false">IF(S70="","",IF(S70&gt;=Escalas!$A$24,"Crítico",IF(S70&gt;=Escalas!$A$23,"Alto",IF(S70&gt;=Escalas!$A$22,"Medio","Bajo"))))</f>
        <v/>
      </c>
      <c r="U70" s="13" t="str">
        <f aca="false">IF(S70="","",IF(S70&lt;=Escalas!$D$28,"Sí","No — requiere aprobación"))</f>
        <v/>
      </c>
      <c r="V70" s="9"/>
    </row>
    <row r="71" customFormat="false" ht="15" hidden="false" customHeight="false" outlineLevel="0" collapsed="false">
      <c r="A71" s="9"/>
      <c r="B71" s="9"/>
      <c r="C71" s="11" t="str">
        <f aca="false">IF(B71="","",IFERROR(INDEX('Inventario de activos'!$B$5:$B$204,MATCH(B71,'Inventario de activos'!$A$5:$A$204,0)),"ID no encontrado"))</f>
        <v/>
      </c>
      <c r="D71" s="9"/>
      <c r="E71" s="11" t="str">
        <f aca="false">IF(D71="","",IFERROR(INDEX('Catálogo de amenazas'!$B$5:$B$204,MATCH(D71,'Catálogo de amenazas'!$A$5:$A$204,0)),"ID no encontrado"))</f>
        <v/>
      </c>
      <c r="F71" s="9"/>
      <c r="G71" s="11" t="str">
        <f aca="false">IF(F71="","",IFERROR(INDEX('Catálogo de vulnerabilidades'!$B$5:$B$204,MATCH(F71,'Catálogo de vulnerabilidades'!$A$5:$A$204,0)),"ID no encontrado"))</f>
        <v/>
      </c>
      <c r="H71" s="8"/>
      <c r="I71" s="9"/>
      <c r="J71" s="8"/>
      <c r="K71" s="8"/>
      <c r="L71" s="9"/>
      <c r="M71" s="9"/>
      <c r="N71" s="12" t="str">
        <f aca="false">IF(OR(L71="",M71=""),"",L71*M71)</f>
        <v/>
      </c>
      <c r="O71" s="13" t="str">
        <f aca="false">IF(N71="","",IF(N71&gt;=Escalas!$A$24,"Crítico",IF(N71&gt;=Escalas!$A$23,"Alto",IF(N71&gt;=Escalas!$A$22,"Medio","Bajo"))))</f>
        <v/>
      </c>
      <c r="P71" s="9"/>
      <c r="Q71" s="9"/>
      <c r="R71" s="9"/>
      <c r="S71" s="12" t="str">
        <f aca="false">IF(OR(Q71="",R71=""),"",Q71*R71)</f>
        <v/>
      </c>
      <c r="T71" s="13" t="str">
        <f aca="false">IF(S71="","",IF(S71&gt;=Escalas!$A$24,"Crítico",IF(S71&gt;=Escalas!$A$23,"Alto",IF(S71&gt;=Escalas!$A$22,"Medio","Bajo"))))</f>
        <v/>
      </c>
      <c r="U71" s="13" t="str">
        <f aca="false">IF(S71="","",IF(S71&lt;=Escalas!$D$28,"Sí","No — requiere aprobación"))</f>
        <v/>
      </c>
      <c r="V71" s="9"/>
    </row>
    <row r="72" customFormat="false" ht="15" hidden="false" customHeight="false" outlineLevel="0" collapsed="false">
      <c r="A72" s="9"/>
      <c r="B72" s="9"/>
      <c r="C72" s="11" t="str">
        <f aca="false">IF(B72="","",IFERROR(INDEX('Inventario de activos'!$B$5:$B$204,MATCH(B72,'Inventario de activos'!$A$5:$A$204,0)),"ID no encontrado"))</f>
        <v/>
      </c>
      <c r="D72" s="9"/>
      <c r="E72" s="11" t="str">
        <f aca="false">IF(D72="","",IFERROR(INDEX('Catálogo de amenazas'!$B$5:$B$204,MATCH(D72,'Catálogo de amenazas'!$A$5:$A$204,0)),"ID no encontrado"))</f>
        <v/>
      </c>
      <c r="F72" s="9"/>
      <c r="G72" s="11" t="str">
        <f aca="false">IF(F72="","",IFERROR(INDEX('Catálogo de vulnerabilidades'!$B$5:$B$204,MATCH(F72,'Catálogo de vulnerabilidades'!$A$5:$A$204,0)),"ID no encontrado"))</f>
        <v/>
      </c>
      <c r="H72" s="8"/>
      <c r="I72" s="9"/>
      <c r="J72" s="8"/>
      <c r="K72" s="8"/>
      <c r="L72" s="9"/>
      <c r="M72" s="9"/>
      <c r="N72" s="12" t="str">
        <f aca="false">IF(OR(L72="",M72=""),"",L72*M72)</f>
        <v/>
      </c>
      <c r="O72" s="13" t="str">
        <f aca="false">IF(N72="","",IF(N72&gt;=Escalas!$A$24,"Crítico",IF(N72&gt;=Escalas!$A$23,"Alto",IF(N72&gt;=Escalas!$A$22,"Medio","Bajo"))))</f>
        <v/>
      </c>
      <c r="P72" s="9"/>
      <c r="Q72" s="9"/>
      <c r="R72" s="9"/>
      <c r="S72" s="12" t="str">
        <f aca="false">IF(OR(Q72="",R72=""),"",Q72*R72)</f>
        <v/>
      </c>
      <c r="T72" s="13" t="str">
        <f aca="false">IF(S72="","",IF(S72&gt;=Escalas!$A$24,"Crítico",IF(S72&gt;=Escalas!$A$23,"Alto",IF(S72&gt;=Escalas!$A$22,"Medio","Bajo"))))</f>
        <v/>
      </c>
      <c r="U72" s="13" t="str">
        <f aca="false">IF(S72="","",IF(S72&lt;=Escalas!$D$28,"Sí","No — requiere aprobación"))</f>
        <v/>
      </c>
      <c r="V72" s="9"/>
    </row>
    <row r="73" customFormat="false" ht="15" hidden="false" customHeight="false" outlineLevel="0" collapsed="false">
      <c r="A73" s="9"/>
      <c r="B73" s="9"/>
      <c r="C73" s="11" t="str">
        <f aca="false">IF(B73="","",IFERROR(INDEX('Inventario de activos'!$B$5:$B$204,MATCH(B73,'Inventario de activos'!$A$5:$A$204,0)),"ID no encontrado"))</f>
        <v/>
      </c>
      <c r="D73" s="9"/>
      <c r="E73" s="11" t="str">
        <f aca="false">IF(D73="","",IFERROR(INDEX('Catálogo de amenazas'!$B$5:$B$204,MATCH(D73,'Catálogo de amenazas'!$A$5:$A$204,0)),"ID no encontrado"))</f>
        <v/>
      </c>
      <c r="F73" s="9"/>
      <c r="G73" s="11" t="str">
        <f aca="false">IF(F73="","",IFERROR(INDEX('Catálogo de vulnerabilidades'!$B$5:$B$204,MATCH(F73,'Catálogo de vulnerabilidades'!$A$5:$A$204,0)),"ID no encontrado"))</f>
        <v/>
      </c>
      <c r="H73" s="8"/>
      <c r="I73" s="9"/>
      <c r="J73" s="8"/>
      <c r="K73" s="8"/>
      <c r="L73" s="9"/>
      <c r="M73" s="9"/>
      <c r="N73" s="12" t="str">
        <f aca="false">IF(OR(L73="",M73=""),"",L73*M73)</f>
        <v/>
      </c>
      <c r="O73" s="13" t="str">
        <f aca="false">IF(N73="","",IF(N73&gt;=Escalas!$A$24,"Crítico",IF(N73&gt;=Escalas!$A$23,"Alto",IF(N73&gt;=Escalas!$A$22,"Medio","Bajo"))))</f>
        <v/>
      </c>
      <c r="P73" s="9"/>
      <c r="Q73" s="9"/>
      <c r="R73" s="9"/>
      <c r="S73" s="12" t="str">
        <f aca="false">IF(OR(Q73="",R73=""),"",Q73*R73)</f>
        <v/>
      </c>
      <c r="T73" s="13" t="str">
        <f aca="false">IF(S73="","",IF(S73&gt;=Escalas!$A$24,"Crítico",IF(S73&gt;=Escalas!$A$23,"Alto",IF(S73&gt;=Escalas!$A$22,"Medio","Bajo"))))</f>
        <v/>
      </c>
      <c r="U73" s="13" t="str">
        <f aca="false">IF(S73="","",IF(S73&lt;=Escalas!$D$28,"Sí","No — requiere aprobación"))</f>
        <v/>
      </c>
      <c r="V73" s="9"/>
    </row>
    <row r="74" customFormat="false" ht="15" hidden="false" customHeight="false" outlineLevel="0" collapsed="false">
      <c r="A74" s="9"/>
      <c r="B74" s="9"/>
      <c r="C74" s="11" t="str">
        <f aca="false">IF(B74="","",IFERROR(INDEX('Inventario de activos'!$B$5:$B$204,MATCH(B74,'Inventario de activos'!$A$5:$A$204,0)),"ID no encontrado"))</f>
        <v/>
      </c>
      <c r="D74" s="9"/>
      <c r="E74" s="11" t="str">
        <f aca="false">IF(D74="","",IFERROR(INDEX('Catálogo de amenazas'!$B$5:$B$204,MATCH(D74,'Catálogo de amenazas'!$A$5:$A$204,0)),"ID no encontrado"))</f>
        <v/>
      </c>
      <c r="F74" s="9"/>
      <c r="G74" s="11" t="str">
        <f aca="false">IF(F74="","",IFERROR(INDEX('Catálogo de vulnerabilidades'!$B$5:$B$204,MATCH(F74,'Catálogo de vulnerabilidades'!$A$5:$A$204,0)),"ID no encontrado"))</f>
        <v/>
      </c>
      <c r="H74" s="8"/>
      <c r="I74" s="9"/>
      <c r="J74" s="8"/>
      <c r="K74" s="8"/>
      <c r="L74" s="9"/>
      <c r="M74" s="9"/>
      <c r="N74" s="12" t="str">
        <f aca="false">IF(OR(L74="",M74=""),"",L74*M74)</f>
        <v/>
      </c>
      <c r="O74" s="13" t="str">
        <f aca="false">IF(N74="","",IF(N74&gt;=Escalas!$A$24,"Crítico",IF(N74&gt;=Escalas!$A$23,"Alto",IF(N74&gt;=Escalas!$A$22,"Medio","Bajo"))))</f>
        <v/>
      </c>
      <c r="P74" s="9"/>
      <c r="Q74" s="9"/>
      <c r="R74" s="9"/>
      <c r="S74" s="12" t="str">
        <f aca="false">IF(OR(Q74="",R74=""),"",Q74*R74)</f>
        <v/>
      </c>
      <c r="T74" s="13" t="str">
        <f aca="false">IF(S74="","",IF(S74&gt;=Escalas!$A$24,"Crítico",IF(S74&gt;=Escalas!$A$23,"Alto",IF(S74&gt;=Escalas!$A$22,"Medio","Bajo"))))</f>
        <v/>
      </c>
      <c r="U74" s="13" t="str">
        <f aca="false">IF(S74="","",IF(S74&lt;=Escalas!$D$28,"Sí","No — requiere aprobación"))</f>
        <v/>
      </c>
      <c r="V74" s="9"/>
    </row>
    <row r="75" customFormat="false" ht="15" hidden="false" customHeight="false" outlineLevel="0" collapsed="false">
      <c r="A75" s="9"/>
      <c r="B75" s="9"/>
      <c r="C75" s="11" t="str">
        <f aca="false">IF(B75="","",IFERROR(INDEX('Inventario de activos'!$B$5:$B$204,MATCH(B75,'Inventario de activos'!$A$5:$A$204,0)),"ID no encontrado"))</f>
        <v/>
      </c>
      <c r="D75" s="9"/>
      <c r="E75" s="11" t="str">
        <f aca="false">IF(D75="","",IFERROR(INDEX('Catálogo de amenazas'!$B$5:$B$204,MATCH(D75,'Catálogo de amenazas'!$A$5:$A$204,0)),"ID no encontrado"))</f>
        <v/>
      </c>
      <c r="F75" s="9"/>
      <c r="G75" s="11" t="str">
        <f aca="false">IF(F75="","",IFERROR(INDEX('Catálogo de vulnerabilidades'!$B$5:$B$204,MATCH(F75,'Catálogo de vulnerabilidades'!$A$5:$A$204,0)),"ID no encontrado"))</f>
        <v/>
      </c>
      <c r="H75" s="8"/>
      <c r="I75" s="9"/>
      <c r="J75" s="8"/>
      <c r="K75" s="8"/>
      <c r="L75" s="9"/>
      <c r="M75" s="9"/>
      <c r="N75" s="12" t="str">
        <f aca="false">IF(OR(L75="",M75=""),"",L75*M75)</f>
        <v/>
      </c>
      <c r="O75" s="13" t="str">
        <f aca="false">IF(N75="","",IF(N75&gt;=Escalas!$A$24,"Crítico",IF(N75&gt;=Escalas!$A$23,"Alto",IF(N75&gt;=Escalas!$A$22,"Medio","Bajo"))))</f>
        <v/>
      </c>
      <c r="P75" s="9"/>
      <c r="Q75" s="9"/>
      <c r="R75" s="9"/>
      <c r="S75" s="12" t="str">
        <f aca="false">IF(OR(Q75="",R75=""),"",Q75*R75)</f>
        <v/>
      </c>
      <c r="T75" s="13" t="str">
        <f aca="false">IF(S75="","",IF(S75&gt;=Escalas!$A$24,"Crítico",IF(S75&gt;=Escalas!$A$23,"Alto",IF(S75&gt;=Escalas!$A$22,"Medio","Bajo"))))</f>
        <v/>
      </c>
      <c r="U75" s="13" t="str">
        <f aca="false">IF(S75="","",IF(S75&lt;=Escalas!$D$28,"Sí","No — requiere aprobación"))</f>
        <v/>
      </c>
      <c r="V75" s="9"/>
    </row>
    <row r="76" customFormat="false" ht="15" hidden="false" customHeight="false" outlineLevel="0" collapsed="false">
      <c r="A76" s="9"/>
      <c r="B76" s="9"/>
      <c r="C76" s="11" t="str">
        <f aca="false">IF(B76="","",IFERROR(INDEX('Inventario de activos'!$B$5:$B$204,MATCH(B76,'Inventario de activos'!$A$5:$A$204,0)),"ID no encontrado"))</f>
        <v/>
      </c>
      <c r="D76" s="9"/>
      <c r="E76" s="11" t="str">
        <f aca="false">IF(D76="","",IFERROR(INDEX('Catálogo de amenazas'!$B$5:$B$204,MATCH(D76,'Catálogo de amenazas'!$A$5:$A$204,0)),"ID no encontrado"))</f>
        <v/>
      </c>
      <c r="F76" s="9"/>
      <c r="G76" s="11" t="str">
        <f aca="false">IF(F76="","",IFERROR(INDEX('Catálogo de vulnerabilidades'!$B$5:$B$204,MATCH(F76,'Catálogo de vulnerabilidades'!$A$5:$A$204,0)),"ID no encontrado"))</f>
        <v/>
      </c>
      <c r="H76" s="8"/>
      <c r="I76" s="9"/>
      <c r="J76" s="8"/>
      <c r="K76" s="8"/>
      <c r="L76" s="9"/>
      <c r="M76" s="9"/>
      <c r="N76" s="12" t="str">
        <f aca="false">IF(OR(L76="",M76=""),"",L76*M76)</f>
        <v/>
      </c>
      <c r="O76" s="13" t="str">
        <f aca="false">IF(N76="","",IF(N76&gt;=Escalas!$A$24,"Crítico",IF(N76&gt;=Escalas!$A$23,"Alto",IF(N76&gt;=Escalas!$A$22,"Medio","Bajo"))))</f>
        <v/>
      </c>
      <c r="P76" s="9"/>
      <c r="Q76" s="9"/>
      <c r="R76" s="9"/>
      <c r="S76" s="12" t="str">
        <f aca="false">IF(OR(Q76="",R76=""),"",Q76*R76)</f>
        <v/>
      </c>
      <c r="T76" s="13" t="str">
        <f aca="false">IF(S76="","",IF(S76&gt;=Escalas!$A$24,"Crítico",IF(S76&gt;=Escalas!$A$23,"Alto",IF(S76&gt;=Escalas!$A$22,"Medio","Bajo"))))</f>
        <v/>
      </c>
      <c r="U76" s="13" t="str">
        <f aca="false">IF(S76="","",IF(S76&lt;=Escalas!$D$28,"Sí","No — requiere aprobación"))</f>
        <v/>
      </c>
      <c r="V76" s="9"/>
    </row>
    <row r="77" customFormat="false" ht="15" hidden="false" customHeight="false" outlineLevel="0" collapsed="false">
      <c r="A77" s="9"/>
      <c r="B77" s="9"/>
      <c r="C77" s="11" t="str">
        <f aca="false">IF(B77="","",IFERROR(INDEX('Inventario de activos'!$B$5:$B$204,MATCH(B77,'Inventario de activos'!$A$5:$A$204,0)),"ID no encontrado"))</f>
        <v/>
      </c>
      <c r="D77" s="9"/>
      <c r="E77" s="11" t="str">
        <f aca="false">IF(D77="","",IFERROR(INDEX('Catálogo de amenazas'!$B$5:$B$204,MATCH(D77,'Catálogo de amenazas'!$A$5:$A$204,0)),"ID no encontrado"))</f>
        <v/>
      </c>
      <c r="F77" s="9"/>
      <c r="G77" s="11" t="str">
        <f aca="false">IF(F77="","",IFERROR(INDEX('Catálogo de vulnerabilidades'!$B$5:$B$204,MATCH(F77,'Catálogo de vulnerabilidades'!$A$5:$A$204,0)),"ID no encontrado"))</f>
        <v/>
      </c>
      <c r="H77" s="8"/>
      <c r="I77" s="9"/>
      <c r="J77" s="8"/>
      <c r="K77" s="8"/>
      <c r="L77" s="9"/>
      <c r="M77" s="9"/>
      <c r="N77" s="12" t="str">
        <f aca="false">IF(OR(L77="",M77=""),"",L77*M77)</f>
        <v/>
      </c>
      <c r="O77" s="13" t="str">
        <f aca="false">IF(N77="","",IF(N77&gt;=Escalas!$A$24,"Crítico",IF(N77&gt;=Escalas!$A$23,"Alto",IF(N77&gt;=Escalas!$A$22,"Medio","Bajo"))))</f>
        <v/>
      </c>
      <c r="P77" s="9"/>
      <c r="Q77" s="9"/>
      <c r="R77" s="9"/>
      <c r="S77" s="12" t="str">
        <f aca="false">IF(OR(Q77="",R77=""),"",Q77*R77)</f>
        <v/>
      </c>
      <c r="T77" s="13" t="str">
        <f aca="false">IF(S77="","",IF(S77&gt;=Escalas!$A$24,"Crítico",IF(S77&gt;=Escalas!$A$23,"Alto",IF(S77&gt;=Escalas!$A$22,"Medio","Bajo"))))</f>
        <v/>
      </c>
      <c r="U77" s="13" t="str">
        <f aca="false">IF(S77="","",IF(S77&lt;=Escalas!$D$28,"Sí","No — requiere aprobación"))</f>
        <v/>
      </c>
      <c r="V77" s="9"/>
    </row>
    <row r="78" customFormat="false" ht="15" hidden="false" customHeight="false" outlineLevel="0" collapsed="false">
      <c r="A78" s="9"/>
      <c r="B78" s="9"/>
      <c r="C78" s="11" t="str">
        <f aca="false">IF(B78="","",IFERROR(INDEX('Inventario de activos'!$B$5:$B$204,MATCH(B78,'Inventario de activos'!$A$5:$A$204,0)),"ID no encontrado"))</f>
        <v/>
      </c>
      <c r="D78" s="9"/>
      <c r="E78" s="11" t="str">
        <f aca="false">IF(D78="","",IFERROR(INDEX('Catálogo de amenazas'!$B$5:$B$204,MATCH(D78,'Catálogo de amenazas'!$A$5:$A$204,0)),"ID no encontrado"))</f>
        <v/>
      </c>
      <c r="F78" s="9"/>
      <c r="G78" s="11" t="str">
        <f aca="false">IF(F78="","",IFERROR(INDEX('Catálogo de vulnerabilidades'!$B$5:$B$204,MATCH(F78,'Catálogo de vulnerabilidades'!$A$5:$A$204,0)),"ID no encontrado"))</f>
        <v/>
      </c>
      <c r="H78" s="8"/>
      <c r="I78" s="9"/>
      <c r="J78" s="8"/>
      <c r="K78" s="8"/>
      <c r="L78" s="9"/>
      <c r="M78" s="9"/>
      <c r="N78" s="12" t="str">
        <f aca="false">IF(OR(L78="",M78=""),"",L78*M78)</f>
        <v/>
      </c>
      <c r="O78" s="13" t="str">
        <f aca="false">IF(N78="","",IF(N78&gt;=Escalas!$A$24,"Crítico",IF(N78&gt;=Escalas!$A$23,"Alto",IF(N78&gt;=Escalas!$A$22,"Medio","Bajo"))))</f>
        <v/>
      </c>
      <c r="P78" s="9"/>
      <c r="Q78" s="9"/>
      <c r="R78" s="9"/>
      <c r="S78" s="12" t="str">
        <f aca="false">IF(OR(Q78="",R78=""),"",Q78*R78)</f>
        <v/>
      </c>
      <c r="T78" s="13" t="str">
        <f aca="false">IF(S78="","",IF(S78&gt;=Escalas!$A$24,"Crítico",IF(S78&gt;=Escalas!$A$23,"Alto",IF(S78&gt;=Escalas!$A$22,"Medio","Bajo"))))</f>
        <v/>
      </c>
      <c r="U78" s="13" t="str">
        <f aca="false">IF(S78="","",IF(S78&lt;=Escalas!$D$28,"Sí","No — requiere aprobación"))</f>
        <v/>
      </c>
      <c r="V78" s="9"/>
    </row>
    <row r="79" customFormat="false" ht="15" hidden="false" customHeight="false" outlineLevel="0" collapsed="false">
      <c r="A79" s="9"/>
      <c r="B79" s="9"/>
      <c r="C79" s="11" t="str">
        <f aca="false">IF(B79="","",IFERROR(INDEX('Inventario de activos'!$B$5:$B$204,MATCH(B79,'Inventario de activos'!$A$5:$A$204,0)),"ID no encontrado"))</f>
        <v/>
      </c>
      <c r="D79" s="9"/>
      <c r="E79" s="11" t="str">
        <f aca="false">IF(D79="","",IFERROR(INDEX('Catálogo de amenazas'!$B$5:$B$204,MATCH(D79,'Catálogo de amenazas'!$A$5:$A$204,0)),"ID no encontrado"))</f>
        <v/>
      </c>
      <c r="F79" s="9"/>
      <c r="G79" s="11" t="str">
        <f aca="false">IF(F79="","",IFERROR(INDEX('Catálogo de vulnerabilidades'!$B$5:$B$204,MATCH(F79,'Catálogo de vulnerabilidades'!$A$5:$A$204,0)),"ID no encontrado"))</f>
        <v/>
      </c>
      <c r="H79" s="8"/>
      <c r="I79" s="9"/>
      <c r="J79" s="8"/>
      <c r="K79" s="8"/>
      <c r="L79" s="9"/>
      <c r="M79" s="9"/>
      <c r="N79" s="12" t="str">
        <f aca="false">IF(OR(L79="",M79=""),"",L79*M79)</f>
        <v/>
      </c>
      <c r="O79" s="13" t="str">
        <f aca="false">IF(N79="","",IF(N79&gt;=Escalas!$A$24,"Crítico",IF(N79&gt;=Escalas!$A$23,"Alto",IF(N79&gt;=Escalas!$A$22,"Medio","Bajo"))))</f>
        <v/>
      </c>
      <c r="P79" s="9"/>
      <c r="Q79" s="9"/>
      <c r="R79" s="9"/>
      <c r="S79" s="12" t="str">
        <f aca="false">IF(OR(Q79="",R79=""),"",Q79*R79)</f>
        <v/>
      </c>
      <c r="T79" s="13" t="str">
        <f aca="false">IF(S79="","",IF(S79&gt;=Escalas!$A$24,"Crítico",IF(S79&gt;=Escalas!$A$23,"Alto",IF(S79&gt;=Escalas!$A$22,"Medio","Bajo"))))</f>
        <v/>
      </c>
      <c r="U79" s="13" t="str">
        <f aca="false">IF(S79="","",IF(S79&lt;=Escalas!$D$28,"Sí","No — requiere aprobación"))</f>
        <v/>
      </c>
      <c r="V79" s="9"/>
    </row>
    <row r="80" customFormat="false" ht="15" hidden="false" customHeight="false" outlineLevel="0" collapsed="false">
      <c r="A80" s="9"/>
      <c r="B80" s="9"/>
      <c r="C80" s="11" t="str">
        <f aca="false">IF(B80="","",IFERROR(INDEX('Inventario de activos'!$B$5:$B$204,MATCH(B80,'Inventario de activos'!$A$5:$A$204,0)),"ID no encontrado"))</f>
        <v/>
      </c>
      <c r="D80" s="9"/>
      <c r="E80" s="11" t="str">
        <f aca="false">IF(D80="","",IFERROR(INDEX('Catálogo de amenazas'!$B$5:$B$204,MATCH(D80,'Catálogo de amenazas'!$A$5:$A$204,0)),"ID no encontrado"))</f>
        <v/>
      </c>
      <c r="F80" s="9"/>
      <c r="G80" s="11" t="str">
        <f aca="false">IF(F80="","",IFERROR(INDEX('Catálogo de vulnerabilidades'!$B$5:$B$204,MATCH(F80,'Catálogo de vulnerabilidades'!$A$5:$A$204,0)),"ID no encontrado"))</f>
        <v/>
      </c>
      <c r="H80" s="8"/>
      <c r="I80" s="9"/>
      <c r="J80" s="8"/>
      <c r="K80" s="8"/>
      <c r="L80" s="9"/>
      <c r="M80" s="9"/>
      <c r="N80" s="12" t="str">
        <f aca="false">IF(OR(L80="",M80=""),"",L80*M80)</f>
        <v/>
      </c>
      <c r="O80" s="13" t="str">
        <f aca="false">IF(N80="","",IF(N80&gt;=Escalas!$A$24,"Crítico",IF(N80&gt;=Escalas!$A$23,"Alto",IF(N80&gt;=Escalas!$A$22,"Medio","Bajo"))))</f>
        <v/>
      </c>
      <c r="P80" s="9"/>
      <c r="Q80" s="9"/>
      <c r="R80" s="9"/>
      <c r="S80" s="12" t="str">
        <f aca="false">IF(OR(Q80="",R80=""),"",Q80*R80)</f>
        <v/>
      </c>
      <c r="T80" s="13" t="str">
        <f aca="false">IF(S80="","",IF(S80&gt;=Escalas!$A$24,"Crítico",IF(S80&gt;=Escalas!$A$23,"Alto",IF(S80&gt;=Escalas!$A$22,"Medio","Bajo"))))</f>
        <v/>
      </c>
      <c r="U80" s="13" t="str">
        <f aca="false">IF(S80="","",IF(S80&lt;=Escalas!$D$28,"Sí","No — requiere aprobación"))</f>
        <v/>
      </c>
      <c r="V80" s="9"/>
    </row>
    <row r="81" customFormat="false" ht="15" hidden="false" customHeight="false" outlineLevel="0" collapsed="false">
      <c r="A81" s="9"/>
      <c r="B81" s="9"/>
      <c r="C81" s="11" t="str">
        <f aca="false">IF(B81="","",IFERROR(INDEX('Inventario de activos'!$B$5:$B$204,MATCH(B81,'Inventario de activos'!$A$5:$A$204,0)),"ID no encontrado"))</f>
        <v/>
      </c>
      <c r="D81" s="9"/>
      <c r="E81" s="11" t="str">
        <f aca="false">IF(D81="","",IFERROR(INDEX('Catálogo de amenazas'!$B$5:$B$204,MATCH(D81,'Catálogo de amenazas'!$A$5:$A$204,0)),"ID no encontrado"))</f>
        <v/>
      </c>
      <c r="F81" s="9"/>
      <c r="G81" s="11" t="str">
        <f aca="false">IF(F81="","",IFERROR(INDEX('Catálogo de vulnerabilidades'!$B$5:$B$204,MATCH(F81,'Catálogo de vulnerabilidades'!$A$5:$A$204,0)),"ID no encontrado"))</f>
        <v/>
      </c>
      <c r="H81" s="8"/>
      <c r="I81" s="9"/>
      <c r="J81" s="8"/>
      <c r="K81" s="8"/>
      <c r="L81" s="9"/>
      <c r="M81" s="9"/>
      <c r="N81" s="12" t="str">
        <f aca="false">IF(OR(L81="",M81=""),"",L81*M81)</f>
        <v/>
      </c>
      <c r="O81" s="13" t="str">
        <f aca="false">IF(N81="","",IF(N81&gt;=Escalas!$A$24,"Crítico",IF(N81&gt;=Escalas!$A$23,"Alto",IF(N81&gt;=Escalas!$A$22,"Medio","Bajo"))))</f>
        <v/>
      </c>
      <c r="P81" s="9"/>
      <c r="Q81" s="9"/>
      <c r="R81" s="9"/>
      <c r="S81" s="12" t="str">
        <f aca="false">IF(OR(Q81="",R81=""),"",Q81*R81)</f>
        <v/>
      </c>
      <c r="T81" s="13" t="str">
        <f aca="false">IF(S81="","",IF(S81&gt;=Escalas!$A$24,"Crítico",IF(S81&gt;=Escalas!$A$23,"Alto",IF(S81&gt;=Escalas!$A$22,"Medio","Bajo"))))</f>
        <v/>
      </c>
      <c r="U81" s="13" t="str">
        <f aca="false">IF(S81="","",IF(S81&lt;=Escalas!$D$28,"Sí","No — requiere aprobación"))</f>
        <v/>
      </c>
      <c r="V81" s="9"/>
    </row>
    <row r="82" customFormat="false" ht="15" hidden="false" customHeight="false" outlineLevel="0" collapsed="false">
      <c r="A82" s="9"/>
      <c r="B82" s="9"/>
      <c r="C82" s="11" t="str">
        <f aca="false">IF(B82="","",IFERROR(INDEX('Inventario de activos'!$B$5:$B$204,MATCH(B82,'Inventario de activos'!$A$5:$A$204,0)),"ID no encontrado"))</f>
        <v/>
      </c>
      <c r="D82" s="9"/>
      <c r="E82" s="11" t="str">
        <f aca="false">IF(D82="","",IFERROR(INDEX('Catálogo de amenazas'!$B$5:$B$204,MATCH(D82,'Catálogo de amenazas'!$A$5:$A$204,0)),"ID no encontrado"))</f>
        <v/>
      </c>
      <c r="F82" s="9"/>
      <c r="G82" s="11" t="str">
        <f aca="false">IF(F82="","",IFERROR(INDEX('Catálogo de vulnerabilidades'!$B$5:$B$204,MATCH(F82,'Catálogo de vulnerabilidades'!$A$5:$A$204,0)),"ID no encontrado"))</f>
        <v/>
      </c>
      <c r="H82" s="8"/>
      <c r="I82" s="9"/>
      <c r="J82" s="8"/>
      <c r="K82" s="8"/>
      <c r="L82" s="9"/>
      <c r="M82" s="9"/>
      <c r="N82" s="12" t="str">
        <f aca="false">IF(OR(L82="",M82=""),"",L82*M82)</f>
        <v/>
      </c>
      <c r="O82" s="13" t="str">
        <f aca="false">IF(N82="","",IF(N82&gt;=Escalas!$A$24,"Crítico",IF(N82&gt;=Escalas!$A$23,"Alto",IF(N82&gt;=Escalas!$A$22,"Medio","Bajo"))))</f>
        <v/>
      </c>
      <c r="P82" s="9"/>
      <c r="Q82" s="9"/>
      <c r="R82" s="9"/>
      <c r="S82" s="12" t="str">
        <f aca="false">IF(OR(Q82="",R82=""),"",Q82*R82)</f>
        <v/>
      </c>
      <c r="T82" s="13" t="str">
        <f aca="false">IF(S82="","",IF(S82&gt;=Escalas!$A$24,"Crítico",IF(S82&gt;=Escalas!$A$23,"Alto",IF(S82&gt;=Escalas!$A$22,"Medio","Bajo"))))</f>
        <v/>
      </c>
      <c r="U82" s="13" t="str">
        <f aca="false">IF(S82="","",IF(S82&lt;=Escalas!$D$28,"Sí","No — requiere aprobación"))</f>
        <v/>
      </c>
      <c r="V82" s="9"/>
    </row>
    <row r="83" customFormat="false" ht="15" hidden="false" customHeight="false" outlineLevel="0" collapsed="false">
      <c r="A83" s="9"/>
      <c r="B83" s="9"/>
      <c r="C83" s="11" t="str">
        <f aca="false">IF(B83="","",IFERROR(INDEX('Inventario de activos'!$B$5:$B$204,MATCH(B83,'Inventario de activos'!$A$5:$A$204,0)),"ID no encontrado"))</f>
        <v/>
      </c>
      <c r="D83" s="9"/>
      <c r="E83" s="11" t="str">
        <f aca="false">IF(D83="","",IFERROR(INDEX('Catálogo de amenazas'!$B$5:$B$204,MATCH(D83,'Catálogo de amenazas'!$A$5:$A$204,0)),"ID no encontrado"))</f>
        <v/>
      </c>
      <c r="F83" s="9"/>
      <c r="G83" s="11" t="str">
        <f aca="false">IF(F83="","",IFERROR(INDEX('Catálogo de vulnerabilidades'!$B$5:$B$204,MATCH(F83,'Catálogo de vulnerabilidades'!$A$5:$A$204,0)),"ID no encontrado"))</f>
        <v/>
      </c>
      <c r="H83" s="8"/>
      <c r="I83" s="9"/>
      <c r="J83" s="8"/>
      <c r="K83" s="8"/>
      <c r="L83" s="9"/>
      <c r="M83" s="9"/>
      <c r="N83" s="12" t="str">
        <f aca="false">IF(OR(L83="",M83=""),"",L83*M83)</f>
        <v/>
      </c>
      <c r="O83" s="13" t="str">
        <f aca="false">IF(N83="","",IF(N83&gt;=Escalas!$A$24,"Crítico",IF(N83&gt;=Escalas!$A$23,"Alto",IF(N83&gt;=Escalas!$A$22,"Medio","Bajo"))))</f>
        <v/>
      </c>
      <c r="P83" s="9"/>
      <c r="Q83" s="9"/>
      <c r="R83" s="9"/>
      <c r="S83" s="12" t="str">
        <f aca="false">IF(OR(Q83="",R83=""),"",Q83*R83)</f>
        <v/>
      </c>
      <c r="T83" s="13" t="str">
        <f aca="false">IF(S83="","",IF(S83&gt;=Escalas!$A$24,"Crítico",IF(S83&gt;=Escalas!$A$23,"Alto",IF(S83&gt;=Escalas!$A$22,"Medio","Bajo"))))</f>
        <v/>
      </c>
      <c r="U83" s="13" t="str">
        <f aca="false">IF(S83="","",IF(S83&lt;=Escalas!$D$28,"Sí","No — requiere aprobación"))</f>
        <v/>
      </c>
      <c r="V83" s="9"/>
    </row>
    <row r="84" customFormat="false" ht="15" hidden="false" customHeight="false" outlineLevel="0" collapsed="false">
      <c r="A84" s="9"/>
      <c r="B84" s="9"/>
      <c r="C84" s="11" t="str">
        <f aca="false">IF(B84="","",IFERROR(INDEX('Inventario de activos'!$B$5:$B$204,MATCH(B84,'Inventario de activos'!$A$5:$A$204,0)),"ID no encontrado"))</f>
        <v/>
      </c>
      <c r="D84" s="9"/>
      <c r="E84" s="11" t="str">
        <f aca="false">IF(D84="","",IFERROR(INDEX('Catálogo de amenazas'!$B$5:$B$204,MATCH(D84,'Catálogo de amenazas'!$A$5:$A$204,0)),"ID no encontrado"))</f>
        <v/>
      </c>
      <c r="F84" s="9"/>
      <c r="G84" s="11" t="str">
        <f aca="false">IF(F84="","",IFERROR(INDEX('Catálogo de vulnerabilidades'!$B$5:$B$204,MATCH(F84,'Catálogo de vulnerabilidades'!$A$5:$A$204,0)),"ID no encontrado"))</f>
        <v/>
      </c>
      <c r="H84" s="8"/>
      <c r="I84" s="9"/>
      <c r="J84" s="8"/>
      <c r="K84" s="8"/>
      <c r="L84" s="9"/>
      <c r="M84" s="9"/>
      <c r="N84" s="12" t="str">
        <f aca="false">IF(OR(L84="",M84=""),"",L84*M84)</f>
        <v/>
      </c>
      <c r="O84" s="13" t="str">
        <f aca="false">IF(N84="","",IF(N84&gt;=Escalas!$A$24,"Crítico",IF(N84&gt;=Escalas!$A$23,"Alto",IF(N84&gt;=Escalas!$A$22,"Medio","Bajo"))))</f>
        <v/>
      </c>
      <c r="P84" s="9"/>
      <c r="Q84" s="9"/>
      <c r="R84" s="9"/>
      <c r="S84" s="12" t="str">
        <f aca="false">IF(OR(Q84="",R84=""),"",Q84*R84)</f>
        <v/>
      </c>
      <c r="T84" s="13" t="str">
        <f aca="false">IF(S84="","",IF(S84&gt;=Escalas!$A$24,"Crítico",IF(S84&gt;=Escalas!$A$23,"Alto",IF(S84&gt;=Escalas!$A$22,"Medio","Bajo"))))</f>
        <v/>
      </c>
      <c r="U84" s="13" t="str">
        <f aca="false">IF(S84="","",IF(S84&lt;=Escalas!$D$28,"Sí","No — requiere aprobación"))</f>
        <v/>
      </c>
      <c r="V84" s="9"/>
    </row>
    <row r="85" customFormat="false" ht="15" hidden="false" customHeight="false" outlineLevel="0" collapsed="false">
      <c r="A85" s="9"/>
      <c r="B85" s="9"/>
      <c r="C85" s="11" t="str">
        <f aca="false">IF(B85="","",IFERROR(INDEX('Inventario de activos'!$B$5:$B$204,MATCH(B85,'Inventario de activos'!$A$5:$A$204,0)),"ID no encontrado"))</f>
        <v/>
      </c>
      <c r="D85" s="9"/>
      <c r="E85" s="11" t="str">
        <f aca="false">IF(D85="","",IFERROR(INDEX('Catálogo de amenazas'!$B$5:$B$204,MATCH(D85,'Catálogo de amenazas'!$A$5:$A$204,0)),"ID no encontrado"))</f>
        <v/>
      </c>
      <c r="F85" s="9"/>
      <c r="G85" s="11" t="str">
        <f aca="false">IF(F85="","",IFERROR(INDEX('Catálogo de vulnerabilidades'!$B$5:$B$204,MATCH(F85,'Catálogo de vulnerabilidades'!$A$5:$A$204,0)),"ID no encontrado"))</f>
        <v/>
      </c>
      <c r="H85" s="8"/>
      <c r="I85" s="9"/>
      <c r="J85" s="8"/>
      <c r="K85" s="8"/>
      <c r="L85" s="9"/>
      <c r="M85" s="9"/>
      <c r="N85" s="12" t="str">
        <f aca="false">IF(OR(L85="",M85=""),"",L85*M85)</f>
        <v/>
      </c>
      <c r="O85" s="13" t="str">
        <f aca="false">IF(N85="","",IF(N85&gt;=Escalas!$A$24,"Crítico",IF(N85&gt;=Escalas!$A$23,"Alto",IF(N85&gt;=Escalas!$A$22,"Medio","Bajo"))))</f>
        <v/>
      </c>
      <c r="P85" s="9"/>
      <c r="Q85" s="9"/>
      <c r="R85" s="9"/>
      <c r="S85" s="12" t="str">
        <f aca="false">IF(OR(Q85="",R85=""),"",Q85*R85)</f>
        <v/>
      </c>
      <c r="T85" s="13" t="str">
        <f aca="false">IF(S85="","",IF(S85&gt;=Escalas!$A$24,"Crítico",IF(S85&gt;=Escalas!$A$23,"Alto",IF(S85&gt;=Escalas!$A$22,"Medio","Bajo"))))</f>
        <v/>
      </c>
      <c r="U85" s="13" t="str">
        <f aca="false">IF(S85="","",IF(S85&lt;=Escalas!$D$28,"Sí","No — requiere aprobación"))</f>
        <v/>
      </c>
      <c r="V85" s="9"/>
    </row>
    <row r="86" customFormat="false" ht="15" hidden="false" customHeight="false" outlineLevel="0" collapsed="false">
      <c r="A86" s="9"/>
      <c r="B86" s="9"/>
      <c r="C86" s="11" t="str">
        <f aca="false">IF(B86="","",IFERROR(INDEX('Inventario de activos'!$B$5:$B$204,MATCH(B86,'Inventario de activos'!$A$5:$A$204,0)),"ID no encontrado"))</f>
        <v/>
      </c>
      <c r="D86" s="9"/>
      <c r="E86" s="11" t="str">
        <f aca="false">IF(D86="","",IFERROR(INDEX('Catálogo de amenazas'!$B$5:$B$204,MATCH(D86,'Catálogo de amenazas'!$A$5:$A$204,0)),"ID no encontrado"))</f>
        <v/>
      </c>
      <c r="F86" s="9"/>
      <c r="G86" s="11" t="str">
        <f aca="false">IF(F86="","",IFERROR(INDEX('Catálogo de vulnerabilidades'!$B$5:$B$204,MATCH(F86,'Catálogo de vulnerabilidades'!$A$5:$A$204,0)),"ID no encontrado"))</f>
        <v/>
      </c>
      <c r="H86" s="8"/>
      <c r="I86" s="9"/>
      <c r="J86" s="8"/>
      <c r="K86" s="8"/>
      <c r="L86" s="9"/>
      <c r="M86" s="9"/>
      <c r="N86" s="12" t="str">
        <f aca="false">IF(OR(L86="",M86=""),"",L86*M86)</f>
        <v/>
      </c>
      <c r="O86" s="13" t="str">
        <f aca="false">IF(N86="","",IF(N86&gt;=Escalas!$A$24,"Crítico",IF(N86&gt;=Escalas!$A$23,"Alto",IF(N86&gt;=Escalas!$A$22,"Medio","Bajo"))))</f>
        <v/>
      </c>
      <c r="P86" s="9"/>
      <c r="Q86" s="9"/>
      <c r="R86" s="9"/>
      <c r="S86" s="12" t="str">
        <f aca="false">IF(OR(Q86="",R86=""),"",Q86*R86)</f>
        <v/>
      </c>
      <c r="T86" s="13" t="str">
        <f aca="false">IF(S86="","",IF(S86&gt;=Escalas!$A$24,"Crítico",IF(S86&gt;=Escalas!$A$23,"Alto",IF(S86&gt;=Escalas!$A$22,"Medio","Bajo"))))</f>
        <v/>
      </c>
      <c r="U86" s="13" t="str">
        <f aca="false">IF(S86="","",IF(S86&lt;=Escalas!$D$28,"Sí","No — requiere aprobación"))</f>
        <v/>
      </c>
      <c r="V86" s="9"/>
    </row>
    <row r="87" customFormat="false" ht="15" hidden="false" customHeight="false" outlineLevel="0" collapsed="false">
      <c r="A87" s="9"/>
      <c r="B87" s="9"/>
      <c r="C87" s="11" t="str">
        <f aca="false">IF(B87="","",IFERROR(INDEX('Inventario de activos'!$B$5:$B$204,MATCH(B87,'Inventario de activos'!$A$5:$A$204,0)),"ID no encontrado"))</f>
        <v/>
      </c>
      <c r="D87" s="9"/>
      <c r="E87" s="11" t="str">
        <f aca="false">IF(D87="","",IFERROR(INDEX('Catálogo de amenazas'!$B$5:$B$204,MATCH(D87,'Catálogo de amenazas'!$A$5:$A$204,0)),"ID no encontrado"))</f>
        <v/>
      </c>
      <c r="F87" s="9"/>
      <c r="G87" s="11" t="str">
        <f aca="false">IF(F87="","",IFERROR(INDEX('Catálogo de vulnerabilidades'!$B$5:$B$204,MATCH(F87,'Catálogo de vulnerabilidades'!$A$5:$A$204,0)),"ID no encontrado"))</f>
        <v/>
      </c>
      <c r="H87" s="8"/>
      <c r="I87" s="9"/>
      <c r="J87" s="8"/>
      <c r="K87" s="8"/>
      <c r="L87" s="9"/>
      <c r="M87" s="9"/>
      <c r="N87" s="12" t="str">
        <f aca="false">IF(OR(L87="",M87=""),"",L87*M87)</f>
        <v/>
      </c>
      <c r="O87" s="13" t="str">
        <f aca="false">IF(N87="","",IF(N87&gt;=Escalas!$A$24,"Crítico",IF(N87&gt;=Escalas!$A$23,"Alto",IF(N87&gt;=Escalas!$A$22,"Medio","Bajo"))))</f>
        <v/>
      </c>
      <c r="P87" s="9"/>
      <c r="Q87" s="9"/>
      <c r="R87" s="9"/>
      <c r="S87" s="12" t="str">
        <f aca="false">IF(OR(Q87="",R87=""),"",Q87*R87)</f>
        <v/>
      </c>
      <c r="T87" s="13" t="str">
        <f aca="false">IF(S87="","",IF(S87&gt;=Escalas!$A$24,"Crítico",IF(S87&gt;=Escalas!$A$23,"Alto",IF(S87&gt;=Escalas!$A$22,"Medio","Bajo"))))</f>
        <v/>
      </c>
      <c r="U87" s="13" t="str">
        <f aca="false">IF(S87="","",IF(S87&lt;=Escalas!$D$28,"Sí","No — requiere aprobación"))</f>
        <v/>
      </c>
      <c r="V87" s="9"/>
    </row>
    <row r="88" customFormat="false" ht="15" hidden="false" customHeight="false" outlineLevel="0" collapsed="false">
      <c r="A88" s="9"/>
      <c r="B88" s="9"/>
      <c r="C88" s="11" t="str">
        <f aca="false">IF(B88="","",IFERROR(INDEX('Inventario de activos'!$B$5:$B$204,MATCH(B88,'Inventario de activos'!$A$5:$A$204,0)),"ID no encontrado"))</f>
        <v/>
      </c>
      <c r="D88" s="9"/>
      <c r="E88" s="11" t="str">
        <f aca="false">IF(D88="","",IFERROR(INDEX('Catálogo de amenazas'!$B$5:$B$204,MATCH(D88,'Catálogo de amenazas'!$A$5:$A$204,0)),"ID no encontrado"))</f>
        <v/>
      </c>
      <c r="F88" s="9"/>
      <c r="G88" s="11" t="str">
        <f aca="false">IF(F88="","",IFERROR(INDEX('Catálogo de vulnerabilidades'!$B$5:$B$204,MATCH(F88,'Catálogo de vulnerabilidades'!$A$5:$A$204,0)),"ID no encontrado"))</f>
        <v/>
      </c>
      <c r="H88" s="8"/>
      <c r="I88" s="9"/>
      <c r="J88" s="8"/>
      <c r="K88" s="8"/>
      <c r="L88" s="9"/>
      <c r="M88" s="9"/>
      <c r="N88" s="12" t="str">
        <f aca="false">IF(OR(L88="",M88=""),"",L88*M88)</f>
        <v/>
      </c>
      <c r="O88" s="13" t="str">
        <f aca="false">IF(N88="","",IF(N88&gt;=Escalas!$A$24,"Crítico",IF(N88&gt;=Escalas!$A$23,"Alto",IF(N88&gt;=Escalas!$A$22,"Medio","Bajo"))))</f>
        <v/>
      </c>
      <c r="P88" s="9"/>
      <c r="Q88" s="9"/>
      <c r="R88" s="9"/>
      <c r="S88" s="12" t="str">
        <f aca="false">IF(OR(Q88="",R88=""),"",Q88*R88)</f>
        <v/>
      </c>
      <c r="T88" s="13" t="str">
        <f aca="false">IF(S88="","",IF(S88&gt;=Escalas!$A$24,"Crítico",IF(S88&gt;=Escalas!$A$23,"Alto",IF(S88&gt;=Escalas!$A$22,"Medio","Bajo"))))</f>
        <v/>
      </c>
      <c r="U88" s="13" t="str">
        <f aca="false">IF(S88="","",IF(S88&lt;=Escalas!$D$28,"Sí","No — requiere aprobación"))</f>
        <v/>
      </c>
      <c r="V88" s="9"/>
    </row>
    <row r="89" customFormat="false" ht="15" hidden="false" customHeight="false" outlineLevel="0" collapsed="false">
      <c r="A89" s="9"/>
      <c r="B89" s="9"/>
      <c r="C89" s="11" t="str">
        <f aca="false">IF(B89="","",IFERROR(INDEX('Inventario de activos'!$B$5:$B$204,MATCH(B89,'Inventario de activos'!$A$5:$A$204,0)),"ID no encontrado"))</f>
        <v/>
      </c>
      <c r="D89" s="9"/>
      <c r="E89" s="11" t="str">
        <f aca="false">IF(D89="","",IFERROR(INDEX('Catálogo de amenazas'!$B$5:$B$204,MATCH(D89,'Catálogo de amenazas'!$A$5:$A$204,0)),"ID no encontrado"))</f>
        <v/>
      </c>
      <c r="F89" s="9"/>
      <c r="G89" s="11" t="str">
        <f aca="false">IF(F89="","",IFERROR(INDEX('Catálogo de vulnerabilidades'!$B$5:$B$204,MATCH(F89,'Catálogo de vulnerabilidades'!$A$5:$A$204,0)),"ID no encontrado"))</f>
        <v/>
      </c>
      <c r="H89" s="8"/>
      <c r="I89" s="9"/>
      <c r="J89" s="8"/>
      <c r="K89" s="8"/>
      <c r="L89" s="9"/>
      <c r="M89" s="9"/>
      <c r="N89" s="12" t="str">
        <f aca="false">IF(OR(L89="",M89=""),"",L89*M89)</f>
        <v/>
      </c>
      <c r="O89" s="13" t="str">
        <f aca="false">IF(N89="","",IF(N89&gt;=Escalas!$A$24,"Crítico",IF(N89&gt;=Escalas!$A$23,"Alto",IF(N89&gt;=Escalas!$A$22,"Medio","Bajo"))))</f>
        <v/>
      </c>
      <c r="P89" s="9"/>
      <c r="Q89" s="9"/>
      <c r="R89" s="9"/>
      <c r="S89" s="12" t="str">
        <f aca="false">IF(OR(Q89="",R89=""),"",Q89*R89)</f>
        <v/>
      </c>
      <c r="T89" s="13" t="str">
        <f aca="false">IF(S89="","",IF(S89&gt;=Escalas!$A$24,"Crítico",IF(S89&gt;=Escalas!$A$23,"Alto",IF(S89&gt;=Escalas!$A$22,"Medio","Bajo"))))</f>
        <v/>
      </c>
      <c r="U89" s="13" t="str">
        <f aca="false">IF(S89="","",IF(S89&lt;=Escalas!$D$28,"Sí","No — requiere aprobación"))</f>
        <v/>
      </c>
      <c r="V89" s="9"/>
    </row>
    <row r="90" customFormat="false" ht="15" hidden="false" customHeight="false" outlineLevel="0" collapsed="false">
      <c r="A90" s="9"/>
      <c r="B90" s="9"/>
      <c r="C90" s="11" t="str">
        <f aca="false">IF(B90="","",IFERROR(INDEX('Inventario de activos'!$B$5:$B$204,MATCH(B90,'Inventario de activos'!$A$5:$A$204,0)),"ID no encontrado"))</f>
        <v/>
      </c>
      <c r="D90" s="9"/>
      <c r="E90" s="11" t="str">
        <f aca="false">IF(D90="","",IFERROR(INDEX('Catálogo de amenazas'!$B$5:$B$204,MATCH(D90,'Catálogo de amenazas'!$A$5:$A$204,0)),"ID no encontrado"))</f>
        <v/>
      </c>
      <c r="F90" s="9"/>
      <c r="G90" s="11" t="str">
        <f aca="false">IF(F90="","",IFERROR(INDEX('Catálogo de vulnerabilidades'!$B$5:$B$204,MATCH(F90,'Catálogo de vulnerabilidades'!$A$5:$A$204,0)),"ID no encontrado"))</f>
        <v/>
      </c>
      <c r="H90" s="8"/>
      <c r="I90" s="9"/>
      <c r="J90" s="8"/>
      <c r="K90" s="8"/>
      <c r="L90" s="9"/>
      <c r="M90" s="9"/>
      <c r="N90" s="12" t="str">
        <f aca="false">IF(OR(L90="",M90=""),"",L90*M90)</f>
        <v/>
      </c>
      <c r="O90" s="13" t="str">
        <f aca="false">IF(N90="","",IF(N90&gt;=Escalas!$A$24,"Crítico",IF(N90&gt;=Escalas!$A$23,"Alto",IF(N90&gt;=Escalas!$A$22,"Medio","Bajo"))))</f>
        <v/>
      </c>
      <c r="P90" s="9"/>
      <c r="Q90" s="9"/>
      <c r="R90" s="9"/>
      <c r="S90" s="12" t="str">
        <f aca="false">IF(OR(Q90="",R90=""),"",Q90*R90)</f>
        <v/>
      </c>
      <c r="T90" s="13" t="str">
        <f aca="false">IF(S90="","",IF(S90&gt;=Escalas!$A$24,"Crítico",IF(S90&gt;=Escalas!$A$23,"Alto",IF(S90&gt;=Escalas!$A$22,"Medio","Bajo"))))</f>
        <v/>
      </c>
      <c r="U90" s="13" t="str">
        <f aca="false">IF(S90="","",IF(S90&lt;=Escalas!$D$28,"Sí","No — requiere aprobación"))</f>
        <v/>
      </c>
      <c r="V90" s="9"/>
    </row>
    <row r="91" customFormat="false" ht="15" hidden="false" customHeight="false" outlineLevel="0" collapsed="false">
      <c r="A91" s="9"/>
      <c r="B91" s="9"/>
      <c r="C91" s="11" t="str">
        <f aca="false">IF(B91="","",IFERROR(INDEX('Inventario de activos'!$B$5:$B$204,MATCH(B91,'Inventario de activos'!$A$5:$A$204,0)),"ID no encontrado"))</f>
        <v/>
      </c>
      <c r="D91" s="9"/>
      <c r="E91" s="11" t="str">
        <f aca="false">IF(D91="","",IFERROR(INDEX('Catálogo de amenazas'!$B$5:$B$204,MATCH(D91,'Catálogo de amenazas'!$A$5:$A$204,0)),"ID no encontrado"))</f>
        <v/>
      </c>
      <c r="F91" s="9"/>
      <c r="G91" s="11" t="str">
        <f aca="false">IF(F91="","",IFERROR(INDEX('Catálogo de vulnerabilidades'!$B$5:$B$204,MATCH(F91,'Catálogo de vulnerabilidades'!$A$5:$A$204,0)),"ID no encontrado"))</f>
        <v/>
      </c>
      <c r="H91" s="8"/>
      <c r="I91" s="9"/>
      <c r="J91" s="8"/>
      <c r="K91" s="8"/>
      <c r="L91" s="9"/>
      <c r="M91" s="9"/>
      <c r="N91" s="12" t="str">
        <f aca="false">IF(OR(L91="",M91=""),"",L91*M91)</f>
        <v/>
      </c>
      <c r="O91" s="13" t="str">
        <f aca="false">IF(N91="","",IF(N91&gt;=Escalas!$A$24,"Crítico",IF(N91&gt;=Escalas!$A$23,"Alto",IF(N91&gt;=Escalas!$A$22,"Medio","Bajo"))))</f>
        <v/>
      </c>
      <c r="P91" s="9"/>
      <c r="Q91" s="9"/>
      <c r="R91" s="9"/>
      <c r="S91" s="12" t="str">
        <f aca="false">IF(OR(Q91="",R91=""),"",Q91*R91)</f>
        <v/>
      </c>
      <c r="T91" s="13" t="str">
        <f aca="false">IF(S91="","",IF(S91&gt;=Escalas!$A$24,"Crítico",IF(S91&gt;=Escalas!$A$23,"Alto",IF(S91&gt;=Escalas!$A$22,"Medio","Bajo"))))</f>
        <v/>
      </c>
      <c r="U91" s="13" t="str">
        <f aca="false">IF(S91="","",IF(S91&lt;=Escalas!$D$28,"Sí","No — requiere aprobación"))</f>
        <v/>
      </c>
      <c r="V91" s="9"/>
    </row>
    <row r="92" customFormat="false" ht="15" hidden="false" customHeight="false" outlineLevel="0" collapsed="false">
      <c r="A92" s="9"/>
      <c r="B92" s="9"/>
      <c r="C92" s="11" t="str">
        <f aca="false">IF(B92="","",IFERROR(INDEX('Inventario de activos'!$B$5:$B$204,MATCH(B92,'Inventario de activos'!$A$5:$A$204,0)),"ID no encontrado"))</f>
        <v/>
      </c>
      <c r="D92" s="9"/>
      <c r="E92" s="11" t="str">
        <f aca="false">IF(D92="","",IFERROR(INDEX('Catálogo de amenazas'!$B$5:$B$204,MATCH(D92,'Catálogo de amenazas'!$A$5:$A$204,0)),"ID no encontrado"))</f>
        <v/>
      </c>
      <c r="F92" s="9"/>
      <c r="G92" s="11" t="str">
        <f aca="false">IF(F92="","",IFERROR(INDEX('Catálogo de vulnerabilidades'!$B$5:$B$204,MATCH(F92,'Catálogo de vulnerabilidades'!$A$5:$A$204,0)),"ID no encontrado"))</f>
        <v/>
      </c>
      <c r="H92" s="8"/>
      <c r="I92" s="9"/>
      <c r="J92" s="8"/>
      <c r="K92" s="8"/>
      <c r="L92" s="9"/>
      <c r="M92" s="9"/>
      <c r="N92" s="12" t="str">
        <f aca="false">IF(OR(L92="",M92=""),"",L92*M92)</f>
        <v/>
      </c>
      <c r="O92" s="13" t="str">
        <f aca="false">IF(N92="","",IF(N92&gt;=Escalas!$A$24,"Crítico",IF(N92&gt;=Escalas!$A$23,"Alto",IF(N92&gt;=Escalas!$A$22,"Medio","Bajo"))))</f>
        <v/>
      </c>
      <c r="P92" s="9"/>
      <c r="Q92" s="9"/>
      <c r="R92" s="9"/>
      <c r="S92" s="12" t="str">
        <f aca="false">IF(OR(Q92="",R92=""),"",Q92*R92)</f>
        <v/>
      </c>
      <c r="T92" s="13" t="str">
        <f aca="false">IF(S92="","",IF(S92&gt;=Escalas!$A$24,"Crítico",IF(S92&gt;=Escalas!$A$23,"Alto",IF(S92&gt;=Escalas!$A$22,"Medio","Bajo"))))</f>
        <v/>
      </c>
      <c r="U92" s="13" t="str">
        <f aca="false">IF(S92="","",IF(S92&lt;=Escalas!$D$28,"Sí","No — requiere aprobación"))</f>
        <v/>
      </c>
      <c r="V92" s="9"/>
    </row>
    <row r="93" customFormat="false" ht="15" hidden="false" customHeight="false" outlineLevel="0" collapsed="false">
      <c r="A93" s="9"/>
      <c r="B93" s="9"/>
      <c r="C93" s="11" t="str">
        <f aca="false">IF(B93="","",IFERROR(INDEX('Inventario de activos'!$B$5:$B$204,MATCH(B93,'Inventario de activos'!$A$5:$A$204,0)),"ID no encontrado"))</f>
        <v/>
      </c>
      <c r="D93" s="9"/>
      <c r="E93" s="11" t="str">
        <f aca="false">IF(D93="","",IFERROR(INDEX('Catálogo de amenazas'!$B$5:$B$204,MATCH(D93,'Catálogo de amenazas'!$A$5:$A$204,0)),"ID no encontrado"))</f>
        <v/>
      </c>
      <c r="F93" s="9"/>
      <c r="G93" s="11" t="str">
        <f aca="false">IF(F93="","",IFERROR(INDEX('Catálogo de vulnerabilidades'!$B$5:$B$204,MATCH(F93,'Catálogo de vulnerabilidades'!$A$5:$A$204,0)),"ID no encontrado"))</f>
        <v/>
      </c>
      <c r="H93" s="8"/>
      <c r="I93" s="9"/>
      <c r="J93" s="8"/>
      <c r="K93" s="8"/>
      <c r="L93" s="9"/>
      <c r="M93" s="9"/>
      <c r="N93" s="12" t="str">
        <f aca="false">IF(OR(L93="",M93=""),"",L93*M93)</f>
        <v/>
      </c>
      <c r="O93" s="13" t="str">
        <f aca="false">IF(N93="","",IF(N93&gt;=Escalas!$A$24,"Crítico",IF(N93&gt;=Escalas!$A$23,"Alto",IF(N93&gt;=Escalas!$A$22,"Medio","Bajo"))))</f>
        <v/>
      </c>
      <c r="P93" s="9"/>
      <c r="Q93" s="9"/>
      <c r="R93" s="9"/>
      <c r="S93" s="12" t="str">
        <f aca="false">IF(OR(Q93="",R93=""),"",Q93*R93)</f>
        <v/>
      </c>
      <c r="T93" s="13" t="str">
        <f aca="false">IF(S93="","",IF(S93&gt;=Escalas!$A$24,"Crítico",IF(S93&gt;=Escalas!$A$23,"Alto",IF(S93&gt;=Escalas!$A$22,"Medio","Bajo"))))</f>
        <v/>
      </c>
      <c r="U93" s="13" t="str">
        <f aca="false">IF(S93="","",IF(S93&lt;=Escalas!$D$28,"Sí","No — requiere aprobación"))</f>
        <v/>
      </c>
      <c r="V93" s="9"/>
    </row>
    <row r="94" customFormat="false" ht="15" hidden="false" customHeight="false" outlineLevel="0" collapsed="false">
      <c r="A94" s="9"/>
      <c r="B94" s="9"/>
      <c r="C94" s="11" t="str">
        <f aca="false">IF(B94="","",IFERROR(INDEX('Inventario de activos'!$B$5:$B$204,MATCH(B94,'Inventario de activos'!$A$5:$A$204,0)),"ID no encontrado"))</f>
        <v/>
      </c>
      <c r="D94" s="9"/>
      <c r="E94" s="11" t="str">
        <f aca="false">IF(D94="","",IFERROR(INDEX('Catálogo de amenazas'!$B$5:$B$204,MATCH(D94,'Catálogo de amenazas'!$A$5:$A$204,0)),"ID no encontrado"))</f>
        <v/>
      </c>
      <c r="F94" s="9"/>
      <c r="G94" s="11" t="str">
        <f aca="false">IF(F94="","",IFERROR(INDEX('Catálogo de vulnerabilidades'!$B$5:$B$204,MATCH(F94,'Catálogo de vulnerabilidades'!$A$5:$A$204,0)),"ID no encontrado"))</f>
        <v/>
      </c>
      <c r="H94" s="8"/>
      <c r="I94" s="9"/>
      <c r="J94" s="8"/>
      <c r="K94" s="8"/>
      <c r="L94" s="9"/>
      <c r="M94" s="9"/>
      <c r="N94" s="12" t="str">
        <f aca="false">IF(OR(L94="",M94=""),"",L94*M94)</f>
        <v/>
      </c>
      <c r="O94" s="13" t="str">
        <f aca="false">IF(N94="","",IF(N94&gt;=Escalas!$A$24,"Crítico",IF(N94&gt;=Escalas!$A$23,"Alto",IF(N94&gt;=Escalas!$A$22,"Medio","Bajo"))))</f>
        <v/>
      </c>
      <c r="P94" s="9"/>
      <c r="Q94" s="9"/>
      <c r="R94" s="9"/>
      <c r="S94" s="12" t="str">
        <f aca="false">IF(OR(Q94="",R94=""),"",Q94*R94)</f>
        <v/>
      </c>
      <c r="T94" s="13" t="str">
        <f aca="false">IF(S94="","",IF(S94&gt;=Escalas!$A$24,"Crítico",IF(S94&gt;=Escalas!$A$23,"Alto",IF(S94&gt;=Escalas!$A$22,"Medio","Bajo"))))</f>
        <v/>
      </c>
      <c r="U94" s="13" t="str">
        <f aca="false">IF(S94="","",IF(S94&lt;=Escalas!$D$28,"Sí","No — requiere aprobación"))</f>
        <v/>
      </c>
      <c r="V94" s="9"/>
    </row>
    <row r="95" customFormat="false" ht="15" hidden="false" customHeight="false" outlineLevel="0" collapsed="false">
      <c r="A95" s="9"/>
      <c r="B95" s="9"/>
      <c r="C95" s="11" t="str">
        <f aca="false">IF(B95="","",IFERROR(INDEX('Inventario de activos'!$B$5:$B$204,MATCH(B95,'Inventario de activos'!$A$5:$A$204,0)),"ID no encontrado"))</f>
        <v/>
      </c>
      <c r="D95" s="9"/>
      <c r="E95" s="11" t="str">
        <f aca="false">IF(D95="","",IFERROR(INDEX('Catálogo de amenazas'!$B$5:$B$204,MATCH(D95,'Catálogo de amenazas'!$A$5:$A$204,0)),"ID no encontrado"))</f>
        <v/>
      </c>
      <c r="F95" s="9"/>
      <c r="G95" s="11" t="str">
        <f aca="false">IF(F95="","",IFERROR(INDEX('Catálogo de vulnerabilidades'!$B$5:$B$204,MATCH(F95,'Catálogo de vulnerabilidades'!$A$5:$A$204,0)),"ID no encontrado"))</f>
        <v/>
      </c>
      <c r="H95" s="8"/>
      <c r="I95" s="9"/>
      <c r="J95" s="8"/>
      <c r="K95" s="8"/>
      <c r="L95" s="9"/>
      <c r="M95" s="9"/>
      <c r="N95" s="12" t="str">
        <f aca="false">IF(OR(L95="",M95=""),"",L95*M95)</f>
        <v/>
      </c>
      <c r="O95" s="13" t="str">
        <f aca="false">IF(N95="","",IF(N95&gt;=Escalas!$A$24,"Crítico",IF(N95&gt;=Escalas!$A$23,"Alto",IF(N95&gt;=Escalas!$A$22,"Medio","Bajo"))))</f>
        <v/>
      </c>
      <c r="P95" s="9"/>
      <c r="Q95" s="9"/>
      <c r="R95" s="9"/>
      <c r="S95" s="12" t="str">
        <f aca="false">IF(OR(Q95="",R95=""),"",Q95*R95)</f>
        <v/>
      </c>
      <c r="T95" s="13" t="str">
        <f aca="false">IF(S95="","",IF(S95&gt;=Escalas!$A$24,"Crítico",IF(S95&gt;=Escalas!$A$23,"Alto",IF(S95&gt;=Escalas!$A$22,"Medio","Bajo"))))</f>
        <v/>
      </c>
      <c r="U95" s="13" t="str">
        <f aca="false">IF(S95="","",IF(S95&lt;=Escalas!$D$28,"Sí","No — requiere aprobación"))</f>
        <v/>
      </c>
      <c r="V95" s="9"/>
    </row>
    <row r="96" customFormat="false" ht="15" hidden="false" customHeight="false" outlineLevel="0" collapsed="false">
      <c r="A96" s="9"/>
      <c r="B96" s="9"/>
      <c r="C96" s="11" t="str">
        <f aca="false">IF(B96="","",IFERROR(INDEX('Inventario de activos'!$B$5:$B$204,MATCH(B96,'Inventario de activos'!$A$5:$A$204,0)),"ID no encontrado"))</f>
        <v/>
      </c>
      <c r="D96" s="9"/>
      <c r="E96" s="11" t="str">
        <f aca="false">IF(D96="","",IFERROR(INDEX('Catálogo de amenazas'!$B$5:$B$204,MATCH(D96,'Catálogo de amenazas'!$A$5:$A$204,0)),"ID no encontrado"))</f>
        <v/>
      </c>
      <c r="F96" s="9"/>
      <c r="G96" s="11" t="str">
        <f aca="false">IF(F96="","",IFERROR(INDEX('Catálogo de vulnerabilidades'!$B$5:$B$204,MATCH(F96,'Catálogo de vulnerabilidades'!$A$5:$A$204,0)),"ID no encontrado"))</f>
        <v/>
      </c>
      <c r="H96" s="8"/>
      <c r="I96" s="9"/>
      <c r="J96" s="8"/>
      <c r="K96" s="8"/>
      <c r="L96" s="9"/>
      <c r="M96" s="9"/>
      <c r="N96" s="12" t="str">
        <f aca="false">IF(OR(L96="",M96=""),"",L96*M96)</f>
        <v/>
      </c>
      <c r="O96" s="13" t="str">
        <f aca="false">IF(N96="","",IF(N96&gt;=Escalas!$A$24,"Crítico",IF(N96&gt;=Escalas!$A$23,"Alto",IF(N96&gt;=Escalas!$A$22,"Medio","Bajo"))))</f>
        <v/>
      </c>
      <c r="P96" s="9"/>
      <c r="Q96" s="9"/>
      <c r="R96" s="9"/>
      <c r="S96" s="12" t="str">
        <f aca="false">IF(OR(Q96="",R96=""),"",Q96*R96)</f>
        <v/>
      </c>
      <c r="T96" s="13" t="str">
        <f aca="false">IF(S96="","",IF(S96&gt;=Escalas!$A$24,"Crítico",IF(S96&gt;=Escalas!$A$23,"Alto",IF(S96&gt;=Escalas!$A$22,"Medio","Bajo"))))</f>
        <v/>
      </c>
      <c r="U96" s="13" t="str">
        <f aca="false">IF(S96="","",IF(S96&lt;=Escalas!$D$28,"Sí","No — requiere aprobación"))</f>
        <v/>
      </c>
      <c r="V96" s="9"/>
    </row>
    <row r="97" customFormat="false" ht="15" hidden="false" customHeight="false" outlineLevel="0" collapsed="false">
      <c r="A97" s="9"/>
      <c r="B97" s="9"/>
      <c r="C97" s="11" t="str">
        <f aca="false">IF(B97="","",IFERROR(INDEX('Inventario de activos'!$B$5:$B$204,MATCH(B97,'Inventario de activos'!$A$5:$A$204,0)),"ID no encontrado"))</f>
        <v/>
      </c>
      <c r="D97" s="9"/>
      <c r="E97" s="11" t="str">
        <f aca="false">IF(D97="","",IFERROR(INDEX('Catálogo de amenazas'!$B$5:$B$204,MATCH(D97,'Catálogo de amenazas'!$A$5:$A$204,0)),"ID no encontrado"))</f>
        <v/>
      </c>
      <c r="F97" s="9"/>
      <c r="G97" s="11" t="str">
        <f aca="false">IF(F97="","",IFERROR(INDEX('Catálogo de vulnerabilidades'!$B$5:$B$204,MATCH(F97,'Catálogo de vulnerabilidades'!$A$5:$A$204,0)),"ID no encontrado"))</f>
        <v/>
      </c>
      <c r="H97" s="8"/>
      <c r="I97" s="9"/>
      <c r="J97" s="8"/>
      <c r="K97" s="8"/>
      <c r="L97" s="9"/>
      <c r="M97" s="9"/>
      <c r="N97" s="12" t="str">
        <f aca="false">IF(OR(L97="",M97=""),"",L97*M97)</f>
        <v/>
      </c>
      <c r="O97" s="13" t="str">
        <f aca="false">IF(N97="","",IF(N97&gt;=Escalas!$A$24,"Crítico",IF(N97&gt;=Escalas!$A$23,"Alto",IF(N97&gt;=Escalas!$A$22,"Medio","Bajo"))))</f>
        <v/>
      </c>
      <c r="P97" s="9"/>
      <c r="Q97" s="9"/>
      <c r="R97" s="9"/>
      <c r="S97" s="12" t="str">
        <f aca="false">IF(OR(Q97="",R97=""),"",Q97*R97)</f>
        <v/>
      </c>
      <c r="T97" s="13" t="str">
        <f aca="false">IF(S97="","",IF(S97&gt;=Escalas!$A$24,"Crítico",IF(S97&gt;=Escalas!$A$23,"Alto",IF(S97&gt;=Escalas!$A$22,"Medio","Bajo"))))</f>
        <v/>
      </c>
      <c r="U97" s="13" t="str">
        <f aca="false">IF(S97="","",IF(S97&lt;=Escalas!$D$28,"Sí","No — requiere aprobación"))</f>
        <v/>
      </c>
      <c r="V97" s="9"/>
    </row>
    <row r="98" customFormat="false" ht="15" hidden="false" customHeight="false" outlineLevel="0" collapsed="false">
      <c r="A98" s="9"/>
      <c r="B98" s="9"/>
      <c r="C98" s="11" t="str">
        <f aca="false">IF(B98="","",IFERROR(INDEX('Inventario de activos'!$B$5:$B$204,MATCH(B98,'Inventario de activos'!$A$5:$A$204,0)),"ID no encontrado"))</f>
        <v/>
      </c>
      <c r="D98" s="9"/>
      <c r="E98" s="11" t="str">
        <f aca="false">IF(D98="","",IFERROR(INDEX('Catálogo de amenazas'!$B$5:$B$204,MATCH(D98,'Catálogo de amenazas'!$A$5:$A$204,0)),"ID no encontrado"))</f>
        <v/>
      </c>
      <c r="F98" s="9"/>
      <c r="G98" s="11" t="str">
        <f aca="false">IF(F98="","",IFERROR(INDEX('Catálogo de vulnerabilidades'!$B$5:$B$204,MATCH(F98,'Catálogo de vulnerabilidades'!$A$5:$A$204,0)),"ID no encontrado"))</f>
        <v/>
      </c>
      <c r="H98" s="8"/>
      <c r="I98" s="9"/>
      <c r="J98" s="8"/>
      <c r="K98" s="8"/>
      <c r="L98" s="9"/>
      <c r="M98" s="9"/>
      <c r="N98" s="12" t="str">
        <f aca="false">IF(OR(L98="",M98=""),"",L98*M98)</f>
        <v/>
      </c>
      <c r="O98" s="13" t="str">
        <f aca="false">IF(N98="","",IF(N98&gt;=Escalas!$A$24,"Crítico",IF(N98&gt;=Escalas!$A$23,"Alto",IF(N98&gt;=Escalas!$A$22,"Medio","Bajo"))))</f>
        <v/>
      </c>
      <c r="P98" s="9"/>
      <c r="Q98" s="9"/>
      <c r="R98" s="9"/>
      <c r="S98" s="12" t="str">
        <f aca="false">IF(OR(Q98="",R98=""),"",Q98*R98)</f>
        <v/>
      </c>
      <c r="T98" s="13" t="str">
        <f aca="false">IF(S98="","",IF(S98&gt;=Escalas!$A$24,"Crítico",IF(S98&gt;=Escalas!$A$23,"Alto",IF(S98&gt;=Escalas!$A$22,"Medio","Bajo"))))</f>
        <v/>
      </c>
      <c r="U98" s="13" t="str">
        <f aca="false">IF(S98="","",IF(S98&lt;=Escalas!$D$28,"Sí","No — requiere aprobación"))</f>
        <v/>
      </c>
      <c r="V98" s="9"/>
    </row>
    <row r="99" customFormat="false" ht="15" hidden="false" customHeight="false" outlineLevel="0" collapsed="false">
      <c r="A99" s="9"/>
      <c r="B99" s="9"/>
      <c r="C99" s="11" t="str">
        <f aca="false">IF(B99="","",IFERROR(INDEX('Inventario de activos'!$B$5:$B$204,MATCH(B99,'Inventario de activos'!$A$5:$A$204,0)),"ID no encontrado"))</f>
        <v/>
      </c>
      <c r="D99" s="9"/>
      <c r="E99" s="11" t="str">
        <f aca="false">IF(D99="","",IFERROR(INDEX('Catálogo de amenazas'!$B$5:$B$204,MATCH(D99,'Catálogo de amenazas'!$A$5:$A$204,0)),"ID no encontrado"))</f>
        <v/>
      </c>
      <c r="F99" s="9"/>
      <c r="G99" s="11" t="str">
        <f aca="false">IF(F99="","",IFERROR(INDEX('Catálogo de vulnerabilidades'!$B$5:$B$204,MATCH(F99,'Catálogo de vulnerabilidades'!$A$5:$A$204,0)),"ID no encontrado"))</f>
        <v/>
      </c>
      <c r="H99" s="8"/>
      <c r="I99" s="9"/>
      <c r="J99" s="8"/>
      <c r="K99" s="8"/>
      <c r="L99" s="9"/>
      <c r="M99" s="9"/>
      <c r="N99" s="12" t="str">
        <f aca="false">IF(OR(L99="",M99=""),"",L99*M99)</f>
        <v/>
      </c>
      <c r="O99" s="13" t="str">
        <f aca="false">IF(N99="","",IF(N99&gt;=Escalas!$A$24,"Crítico",IF(N99&gt;=Escalas!$A$23,"Alto",IF(N99&gt;=Escalas!$A$22,"Medio","Bajo"))))</f>
        <v/>
      </c>
      <c r="P99" s="9"/>
      <c r="Q99" s="9"/>
      <c r="R99" s="9"/>
      <c r="S99" s="12" t="str">
        <f aca="false">IF(OR(Q99="",R99=""),"",Q99*R99)</f>
        <v/>
      </c>
      <c r="T99" s="13" t="str">
        <f aca="false">IF(S99="","",IF(S99&gt;=Escalas!$A$24,"Crítico",IF(S99&gt;=Escalas!$A$23,"Alto",IF(S99&gt;=Escalas!$A$22,"Medio","Bajo"))))</f>
        <v/>
      </c>
      <c r="U99" s="13" t="str">
        <f aca="false">IF(S99="","",IF(S99&lt;=Escalas!$D$28,"Sí","No — requiere aprobación"))</f>
        <v/>
      </c>
      <c r="V99" s="9"/>
    </row>
    <row r="100" customFormat="false" ht="15" hidden="false" customHeight="false" outlineLevel="0" collapsed="false">
      <c r="A100" s="9"/>
      <c r="B100" s="9"/>
      <c r="C100" s="11" t="str">
        <f aca="false">IF(B100="","",IFERROR(INDEX('Inventario de activos'!$B$5:$B$204,MATCH(B100,'Inventario de activos'!$A$5:$A$204,0)),"ID no encontrado"))</f>
        <v/>
      </c>
      <c r="D100" s="9"/>
      <c r="E100" s="11" t="str">
        <f aca="false">IF(D100="","",IFERROR(INDEX('Catálogo de amenazas'!$B$5:$B$204,MATCH(D100,'Catálogo de amenazas'!$A$5:$A$204,0)),"ID no encontrado"))</f>
        <v/>
      </c>
      <c r="F100" s="9"/>
      <c r="G100" s="11" t="str">
        <f aca="false">IF(F100="","",IFERROR(INDEX('Catálogo de vulnerabilidades'!$B$5:$B$204,MATCH(F100,'Catálogo de vulnerabilidades'!$A$5:$A$204,0)),"ID no encontrado"))</f>
        <v/>
      </c>
      <c r="H100" s="8"/>
      <c r="I100" s="9"/>
      <c r="J100" s="8"/>
      <c r="K100" s="8"/>
      <c r="L100" s="9"/>
      <c r="M100" s="9"/>
      <c r="N100" s="12" t="str">
        <f aca="false">IF(OR(L100="",M100=""),"",L100*M100)</f>
        <v/>
      </c>
      <c r="O100" s="13" t="str">
        <f aca="false">IF(N100="","",IF(N100&gt;=Escalas!$A$24,"Crítico",IF(N100&gt;=Escalas!$A$23,"Alto",IF(N100&gt;=Escalas!$A$22,"Medio","Bajo"))))</f>
        <v/>
      </c>
      <c r="P100" s="9"/>
      <c r="Q100" s="9"/>
      <c r="R100" s="9"/>
      <c r="S100" s="12" t="str">
        <f aca="false">IF(OR(Q100="",R100=""),"",Q100*R100)</f>
        <v/>
      </c>
      <c r="T100" s="13" t="str">
        <f aca="false">IF(S100="","",IF(S100&gt;=Escalas!$A$24,"Crítico",IF(S100&gt;=Escalas!$A$23,"Alto",IF(S100&gt;=Escalas!$A$22,"Medio","Bajo"))))</f>
        <v/>
      </c>
      <c r="U100" s="13" t="str">
        <f aca="false">IF(S100="","",IF(S100&lt;=Escalas!$D$28,"Sí","No — requiere aprobación"))</f>
        <v/>
      </c>
      <c r="V100" s="9"/>
    </row>
    <row r="101" customFormat="false" ht="15" hidden="false" customHeight="false" outlineLevel="0" collapsed="false">
      <c r="A101" s="9"/>
      <c r="B101" s="9"/>
      <c r="C101" s="11" t="str">
        <f aca="false">IF(B101="","",IFERROR(INDEX('Inventario de activos'!$B$5:$B$204,MATCH(B101,'Inventario de activos'!$A$5:$A$204,0)),"ID no encontrado"))</f>
        <v/>
      </c>
      <c r="D101" s="9"/>
      <c r="E101" s="11" t="str">
        <f aca="false">IF(D101="","",IFERROR(INDEX('Catálogo de amenazas'!$B$5:$B$204,MATCH(D101,'Catálogo de amenazas'!$A$5:$A$204,0)),"ID no encontrado"))</f>
        <v/>
      </c>
      <c r="F101" s="9"/>
      <c r="G101" s="11" t="str">
        <f aca="false">IF(F101="","",IFERROR(INDEX('Catálogo de vulnerabilidades'!$B$5:$B$204,MATCH(F101,'Catálogo de vulnerabilidades'!$A$5:$A$204,0)),"ID no encontrado"))</f>
        <v/>
      </c>
      <c r="H101" s="8"/>
      <c r="I101" s="9"/>
      <c r="J101" s="8"/>
      <c r="K101" s="8"/>
      <c r="L101" s="9"/>
      <c r="M101" s="9"/>
      <c r="N101" s="12" t="str">
        <f aca="false">IF(OR(L101="",M101=""),"",L101*M101)</f>
        <v/>
      </c>
      <c r="O101" s="13" t="str">
        <f aca="false">IF(N101="","",IF(N101&gt;=Escalas!$A$24,"Crítico",IF(N101&gt;=Escalas!$A$23,"Alto",IF(N101&gt;=Escalas!$A$22,"Medio","Bajo"))))</f>
        <v/>
      </c>
      <c r="P101" s="9"/>
      <c r="Q101" s="9"/>
      <c r="R101" s="9"/>
      <c r="S101" s="12" t="str">
        <f aca="false">IF(OR(Q101="",R101=""),"",Q101*R101)</f>
        <v/>
      </c>
      <c r="T101" s="13" t="str">
        <f aca="false">IF(S101="","",IF(S101&gt;=Escalas!$A$24,"Crítico",IF(S101&gt;=Escalas!$A$23,"Alto",IF(S101&gt;=Escalas!$A$22,"Medio","Bajo"))))</f>
        <v/>
      </c>
      <c r="U101" s="13" t="str">
        <f aca="false">IF(S101="","",IF(S101&lt;=Escalas!$D$28,"Sí","No — requiere aprobación"))</f>
        <v/>
      </c>
      <c r="V101" s="9"/>
    </row>
    <row r="102" customFormat="false" ht="15" hidden="false" customHeight="false" outlineLevel="0" collapsed="false">
      <c r="A102" s="9"/>
      <c r="B102" s="9"/>
      <c r="C102" s="11" t="str">
        <f aca="false">IF(B102="","",IFERROR(INDEX('Inventario de activos'!$B$5:$B$204,MATCH(B102,'Inventario de activos'!$A$5:$A$204,0)),"ID no encontrado"))</f>
        <v/>
      </c>
      <c r="D102" s="9"/>
      <c r="E102" s="11" t="str">
        <f aca="false">IF(D102="","",IFERROR(INDEX('Catálogo de amenazas'!$B$5:$B$204,MATCH(D102,'Catálogo de amenazas'!$A$5:$A$204,0)),"ID no encontrado"))</f>
        <v/>
      </c>
      <c r="F102" s="9"/>
      <c r="G102" s="11" t="str">
        <f aca="false">IF(F102="","",IFERROR(INDEX('Catálogo de vulnerabilidades'!$B$5:$B$204,MATCH(F102,'Catálogo de vulnerabilidades'!$A$5:$A$204,0)),"ID no encontrado"))</f>
        <v/>
      </c>
      <c r="H102" s="8"/>
      <c r="I102" s="9"/>
      <c r="J102" s="8"/>
      <c r="K102" s="8"/>
      <c r="L102" s="9"/>
      <c r="M102" s="9"/>
      <c r="N102" s="12" t="str">
        <f aca="false">IF(OR(L102="",M102=""),"",L102*M102)</f>
        <v/>
      </c>
      <c r="O102" s="13" t="str">
        <f aca="false">IF(N102="","",IF(N102&gt;=Escalas!$A$24,"Crítico",IF(N102&gt;=Escalas!$A$23,"Alto",IF(N102&gt;=Escalas!$A$22,"Medio","Bajo"))))</f>
        <v/>
      </c>
      <c r="P102" s="9"/>
      <c r="Q102" s="9"/>
      <c r="R102" s="9"/>
      <c r="S102" s="12" t="str">
        <f aca="false">IF(OR(Q102="",R102=""),"",Q102*R102)</f>
        <v/>
      </c>
      <c r="T102" s="13" t="str">
        <f aca="false">IF(S102="","",IF(S102&gt;=Escalas!$A$24,"Crítico",IF(S102&gt;=Escalas!$A$23,"Alto",IF(S102&gt;=Escalas!$A$22,"Medio","Bajo"))))</f>
        <v/>
      </c>
      <c r="U102" s="13" t="str">
        <f aca="false">IF(S102="","",IF(S102&lt;=Escalas!$D$28,"Sí","No — requiere aprobación"))</f>
        <v/>
      </c>
      <c r="V102" s="9"/>
    </row>
    <row r="103" customFormat="false" ht="15" hidden="false" customHeight="false" outlineLevel="0" collapsed="false">
      <c r="A103" s="9"/>
      <c r="B103" s="9"/>
      <c r="C103" s="11" t="str">
        <f aca="false">IF(B103="","",IFERROR(INDEX('Inventario de activos'!$B$5:$B$204,MATCH(B103,'Inventario de activos'!$A$5:$A$204,0)),"ID no encontrado"))</f>
        <v/>
      </c>
      <c r="D103" s="9"/>
      <c r="E103" s="11" t="str">
        <f aca="false">IF(D103="","",IFERROR(INDEX('Catálogo de amenazas'!$B$5:$B$204,MATCH(D103,'Catálogo de amenazas'!$A$5:$A$204,0)),"ID no encontrado"))</f>
        <v/>
      </c>
      <c r="F103" s="9"/>
      <c r="G103" s="11" t="str">
        <f aca="false">IF(F103="","",IFERROR(INDEX('Catálogo de vulnerabilidades'!$B$5:$B$204,MATCH(F103,'Catálogo de vulnerabilidades'!$A$5:$A$204,0)),"ID no encontrado"))</f>
        <v/>
      </c>
      <c r="H103" s="8"/>
      <c r="I103" s="9"/>
      <c r="J103" s="8"/>
      <c r="K103" s="8"/>
      <c r="L103" s="9"/>
      <c r="M103" s="9"/>
      <c r="N103" s="12" t="str">
        <f aca="false">IF(OR(L103="",M103=""),"",L103*M103)</f>
        <v/>
      </c>
      <c r="O103" s="13" t="str">
        <f aca="false">IF(N103="","",IF(N103&gt;=Escalas!$A$24,"Crítico",IF(N103&gt;=Escalas!$A$23,"Alto",IF(N103&gt;=Escalas!$A$22,"Medio","Bajo"))))</f>
        <v/>
      </c>
      <c r="P103" s="9"/>
      <c r="Q103" s="9"/>
      <c r="R103" s="9"/>
      <c r="S103" s="12" t="str">
        <f aca="false">IF(OR(Q103="",R103=""),"",Q103*R103)</f>
        <v/>
      </c>
      <c r="T103" s="13" t="str">
        <f aca="false">IF(S103="","",IF(S103&gt;=Escalas!$A$24,"Crítico",IF(S103&gt;=Escalas!$A$23,"Alto",IF(S103&gt;=Escalas!$A$22,"Medio","Bajo"))))</f>
        <v/>
      </c>
      <c r="U103" s="13" t="str">
        <f aca="false">IF(S103="","",IF(S103&lt;=Escalas!$D$28,"Sí","No — requiere aprobación"))</f>
        <v/>
      </c>
      <c r="V103" s="9"/>
    </row>
    <row r="104" customFormat="false" ht="15" hidden="false" customHeight="false" outlineLevel="0" collapsed="false">
      <c r="A104" s="9"/>
      <c r="B104" s="9"/>
      <c r="C104" s="11" t="str">
        <f aca="false">IF(B104="","",IFERROR(INDEX('Inventario de activos'!$B$5:$B$204,MATCH(B104,'Inventario de activos'!$A$5:$A$204,0)),"ID no encontrado"))</f>
        <v/>
      </c>
      <c r="D104" s="9"/>
      <c r="E104" s="11" t="str">
        <f aca="false">IF(D104="","",IFERROR(INDEX('Catálogo de amenazas'!$B$5:$B$204,MATCH(D104,'Catálogo de amenazas'!$A$5:$A$204,0)),"ID no encontrado"))</f>
        <v/>
      </c>
      <c r="F104" s="9"/>
      <c r="G104" s="11" t="str">
        <f aca="false">IF(F104="","",IFERROR(INDEX('Catálogo de vulnerabilidades'!$B$5:$B$204,MATCH(F104,'Catálogo de vulnerabilidades'!$A$5:$A$204,0)),"ID no encontrado"))</f>
        <v/>
      </c>
      <c r="H104" s="8"/>
      <c r="I104" s="9"/>
      <c r="J104" s="8"/>
      <c r="K104" s="8"/>
      <c r="L104" s="9"/>
      <c r="M104" s="9"/>
      <c r="N104" s="12" t="str">
        <f aca="false">IF(OR(L104="",M104=""),"",L104*M104)</f>
        <v/>
      </c>
      <c r="O104" s="13" t="str">
        <f aca="false">IF(N104="","",IF(N104&gt;=Escalas!$A$24,"Crítico",IF(N104&gt;=Escalas!$A$23,"Alto",IF(N104&gt;=Escalas!$A$22,"Medio","Bajo"))))</f>
        <v/>
      </c>
      <c r="P104" s="9"/>
      <c r="Q104" s="9"/>
      <c r="R104" s="9"/>
      <c r="S104" s="12" t="str">
        <f aca="false">IF(OR(Q104="",R104=""),"",Q104*R104)</f>
        <v/>
      </c>
      <c r="T104" s="13" t="str">
        <f aca="false">IF(S104="","",IF(S104&gt;=Escalas!$A$24,"Crítico",IF(S104&gt;=Escalas!$A$23,"Alto",IF(S104&gt;=Escalas!$A$22,"Medio","Bajo"))))</f>
        <v/>
      </c>
      <c r="U104" s="13" t="str">
        <f aca="false">IF(S104="","",IF(S104&lt;=Escalas!$D$28,"Sí","No — requiere aprobación"))</f>
        <v/>
      </c>
      <c r="V104" s="9"/>
    </row>
    <row r="105" customFormat="false" ht="15" hidden="false" customHeight="false" outlineLevel="0" collapsed="false">
      <c r="A105" s="9"/>
      <c r="B105" s="9"/>
      <c r="C105" s="11" t="str">
        <f aca="false">IF(B105="","",IFERROR(INDEX('Inventario de activos'!$B$5:$B$204,MATCH(B105,'Inventario de activos'!$A$5:$A$204,0)),"ID no encontrado"))</f>
        <v/>
      </c>
      <c r="D105" s="9"/>
      <c r="E105" s="11" t="str">
        <f aca="false">IF(D105="","",IFERROR(INDEX('Catálogo de amenazas'!$B$5:$B$204,MATCH(D105,'Catálogo de amenazas'!$A$5:$A$204,0)),"ID no encontrado"))</f>
        <v/>
      </c>
      <c r="F105" s="9"/>
      <c r="G105" s="11" t="str">
        <f aca="false">IF(F105="","",IFERROR(INDEX('Catálogo de vulnerabilidades'!$B$5:$B$204,MATCH(F105,'Catálogo de vulnerabilidades'!$A$5:$A$204,0)),"ID no encontrado"))</f>
        <v/>
      </c>
      <c r="H105" s="8"/>
      <c r="I105" s="9"/>
      <c r="J105" s="8"/>
      <c r="K105" s="8"/>
      <c r="L105" s="9"/>
      <c r="M105" s="9"/>
      <c r="N105" s="12" t="str">
        <f aca="false">IF(OR(L105="",M105=""),"",L105*M105)</f>
        <v/>
      </c>
      <c r="O105" s="13" t="str">
        <f aca="false">IF(N105="","",IF(N105&gt;=Escalas!$A$24,"Crítico",IF(N105&gt;=Escalas!$A$23,"Alto",IF(N105&gt;=Escalas!$A$22,"Medio","Bajo"))))</f>
        <v/>
      </c>
      <c r="P105" s="9"/>
      <c r="Q105" s="9"/>
      <c r="R105" s="9"/>
      <c r="S105" s="12" t="str">
        <f aca="false">IF(OR(Q105="",R105=""),"",Q105*R105)</f>
        <v/>
      </c>
      <c r="T105" s="13" t="str">
        <f aca="false">IF(S105="","",IF(S105&gt;=Escalas!$A$24,"Crítico",IF(S105&gt;=Escalas!$A$23,"Alto",IF(S105&gt;=Escalas!$A$22,"Medio","Bajo"))))</f>
        <v/>
      </c>
      <c r="U105" s="13" t="str">
        <f aca="false">IF(S105="","",IF(S105&lt;=Escalas!$D$28,"Sí","No — requiere aprobación"))</f>
        <v/>
      </c>
      <c r="V105" s="9"/>
    </row>
    <row r="106" customFormat="false" ht="15" hidden="false" customHeight="false" outlineLevel="0" collapsed="false">
      <c r="A106" s="9"/>
      <c r="B106" s="9"/>
      <c r="C106" s="11" t="str">
        <f aca="false">IF(B106="","",IFERROR(INDEX('Inventario de activos'!$B$5:$B$204,MATCH(B106,'Inventario de activos'!$A$5:$A$204,0)),"ID no encontrado"))</f>
        <v/>
      </c>
      <c r="D106" s="9"/>
      <c r="E106" s="11" t="str">
        <f aca="false">IF(D106="","",IFERROR(INDEX('Catálogo de amenazas'!$B$5:$B$204,MATCH(D106,'Catálogo de amenazas'!$A$5:$A$204,0)),"ID no encontrado"))</f>
        <v/>
      </c>
      <c r="F106" s="9"/>
      <c r="G106" s="11" t="str">
        <f aca="false">IF(F106="","",IFERROR(INDEX('Catálogo de vulnerabilidades'!$B$5:$B$204,MATCH(F106,'Catálogo de vulnerabilidades'!$A$5:$A$204,0)),"ID no encontrado"))</f>
        <v/>
      </c>
      <c r="H106" s="8"/>
      <c r="I106" s="9"/>
      <c r="J106" s="8"/>
      <c r="K106" s="8"/>
      <c r="L106" s="9"/>
      <c r="M106" s="9"/>
      <c r="N106" s="12" t="str">
        <f aca="false">IF(OR(L106="",M106=""),"",L106*M106)</f>
        <v/>
      </c>
      <c r="O106" s="13" t="str">
        <f aca="false">IF(N106="","",IF(N106&gt;=Escalas!$A$24,"Crítico",IF(N106&gt;=Escalas!$A$23,"Alto",IF(N106&gt;=Escalas!$A$22,"Medio","Bajo"))))</f>
        <v/>
      </c>
      <c r="P106" s="9"/>
      <c r="Q106" s="9"/>
      <c r="R106" s="9"/>
      <c r="S106" s="12" t="str">
        <f aca="false">IF(OR(Q106="",R106=""),"",Q106*R106)</f>
        <v/>
      </c>
      <c r="T106" s="13" t="str">
        <f aca="false">IF(S106="","",IF(S106&gt;=Escalas!$A$24,"Crítico",IF(S106&gt;=Escalas!$A$23,"Alto",IF(S106&gt;=Escalas!$A$22,"Medio","Bajo"))))</f>
        <v/>
      </c>
      <c r="U106" s="13" t="str">
        <f aca="false">IF(S106="","",IF(S106&lt;=Escalas!$D$28,"Sí","No — requiere aprobación"))</f>
        <v/>
      </c>
      <c r="V106" s="9"/>
    </row>
    <row r="107" customFormat="false" ht="15" hidden="false" customHeight="false" outlineLevel="0" collapsed="false">
      <c r="A107" s="9"/>
      <c r="B107" s="9"/>
      <c r="C107" s="11" t="str">
        <f aca="false">IF(B107="","",IFERROR(INDEX('Inventario de activos'!$B$5:$B$204,MATCH(B107,'Inventario de activos'!$A$5:$A$204,0)),"ID no encontrado"))</f>
        <v/>
      </c>
      <c r="D107" s="9"/>
      <c r="E107" s="11" t="str">
        <f aca="false">IF(D107="","",IFERROR(INDEX('Catálogo de amenazas'!$B$5:$B$204,MATCH(D107,'Catálogo de amenazas'!$A$5:$A$204,0)),"ID no encontrado"))</f>
        <v/>
      </c>
      <c r="F107" s="9"/>
      <c r="G107" s="11" t="str">
        <f aca="false">IF(F107="","",IFERROR(INDEX('Catálogo de vulnerabilidades'!$B$5:$B$204,MATCH(F107,'Catálogo de vulnerabilidades'!$A$5:$A$204,0)),"ID no encontrado"))</f>
        <v/>
      </c>
      <c r="H107" s="8"/>
      <c r="I107" s="9"/>
      <c r="J107" s="8"/>
      <c r="K107" s="8"/>
      <c r="L107" s="9"/>
      <c r="M107" s="9"/>
      <c r="N107" s="12" t="str">
        <f aca="false">IF(OR(L107="",M107=""),"",L107*M107)</f>
        <v/>
      </c>
      <c r="O107" s="13" t="str">
        <f aca="false">IF(N107="","",IF(N107&gt;=Escalas!$A$24,"Crítico",IF(N107&gt;=Escalas!$A$23,"Alto",IF(N107&gt;=Escalas!$A$22,"Medio","Bajo"))))</f>
        <v/>
      </c>
      <c r="P107" s="9"/>
      <c r="Q107" s="9"/>
      <c r="R107" s="9"/>
      <c r="S107" s="12" t="str">
        <f aca="false">IF(OR(Q107="",R107=""),"",Q107*R107)</f>
        <v/>
      </c>
      <c r="T107" s="13" t="str">
        <f aca="false">IF(S107="","",IF(S107&gt;=Escalas!$A$24,"Crítico",IF(S107&gt;=Escalas!$A$23,"Alto",IF(S107&gt;=Escalas!$A$22,"Medio","Bajo"))))</f>
        <v/>
      </c>
      <c r="U107" s="13" t="str">
        <f aca="false">IF(S107="","",IF(S107&lt;=Escalas!$D$28,"Sí","No — requiere aprobación"))</f>
        <v/>
      </c>
      <c r="V107" s="9"/>
    </row>
    <row r="108" customFormat="false" ht="15" hidden="false" customHeight="false" outlineLevel="0" collapsed="false">
      <c r="A108" s="9"/>
      <c r="B108" s="9"/>
      <c r="C108" s="11" t="str">
        <f aca="false">IF(B108="","",IFERROR(INDEX('Inventario de activos'!$B$5:$B$204,MATCH(B108,'Inventario de activos'!$A$5:$A$204,0)),"ID no encontrado"))</f>
        <v/>
      </c>
      <c r="D108" s="9"/>
      <c r="E108" s="11" t="str">
        <f aca="false">IF(D108="","",IFERROR(INDEX('Catálogo de amenazas'!$B$5:$B$204,MATCH(D108,'Catálogo de amenazas'!$A$5:$A$204,0)),"ID no encontrado"))</f>
        <v/>
      </c>
      <c r="F108" s="9"/>
      <c r="G108" s="11" t="str">
        <f aca="false">IF(F108="","",IFERROR(INDEX('Catálogo de vulnerabilidades'!$B$5:$B$204,MATCH(F108,'Catálogo de vulnerabilidades'!$A$5:$A$204,0)),"ID no encontrado"))</f>
        <v/>
      </c>
      <c r="H108" s="8"/>
      <c r="I108" s="9"/>
      <c r="J108" s="8"/>
      <c r="K108" s="8"/>
      <c r="L108" s="9"/>
      <c r="M108" s="9"/>
      <c r="N108" s="12" t="str">
        <f aca="false">IF(OR(L108="",M108=""),"",L108*M108)</f>
        <v/>
      </c>
      <c r="O108" s="13" t="str">
        <f aca="false">IF(N108="","",IF(N108&gt;=Escalas!$A$24,"Crítico",IF(N108&gt;=Escalas!$A$23,"Alto",IF(N108&gt;=Escalas!$A$22,"Medio","Bajo"))))</f>
        <v/>
      </c>
      <c r="P108" s="9"/>
      <c r="Q108" s="9"/>
      <c r="R108" s="9"/>
      <c r="S108" s="12" t="str">
        <f aca="false">IF(OR(Q108="",R108=""),"",Q108*R108)</f>
        <v/>
      </c>
      <c r="T108" s="13" t="str">
        <f aca="false">IF(S108="","",IF(S108&gt;=Escalas!$A$24,"Crítico",IF(S108&gt;=Escalas!$A$23,"Alto",IF(S108&gt;=Escalas!$A$22,"Medio","Bajo"))))</f>
        <v/>
      </c>
      <c r="U108" s="13" t="str">
        <f aca="false">IF(S108="","",IF(S108&lt;=Escalas!$D$28,"Sí","No — requiere aprobación"))</f>
        <v/>
      </c>
      <c r="V108" s="9"/>
    </row>
    <row r="109" customFormat="false" ht="15" hidden="false" customHeight="false" outlineLevel="0" collapsed="false">
      <c r="A109" s="9"/>
      <c r="B109" s="9"/>
      <c r="C109" s="11" t="str">
        <f aca="false">IF(B109="","",IFERROR(INDEX('Inventario de activos'!$B$5:$B$204,MATCH(B109,'Inventario de activos'!$A$5:$A$204,0)),"ID no encontrado"))</f>
        <v/>
      </c>
      <c r="D109" s="9"/>
      <c r="E109" s="11" t="str">
        <f aca="false">IF(D109="","",IFERROR(INDEX('Catálogo de amenazas'!$B$5:$B$204,MATCH(D109,'Catálogo de amenazas'!$A$5:$A$204,0)),"ID no encontrado"))</f>
        <v/>
      </c>
      <c r="F109" s="9"/>
      <c r="G109" s="11" t="str">
        <f aca="false">IF(F109="","",IFERROR(INDEX('Catálogo de vulnerabilidades'!$B$5:$B$204,MATCH(F109,'Catálogo de vulnerabilidades'!$A$5:$A$204,0)),"ID no encontrado"))</f>
        <v/>
      </c>
      <c r="H109" s="8"/>
      <c r="I109" s="9"/>
      <c r="J109" s="8"/>
      <c r="K109" s="8"/>
      <c r="L109" s="9"/>
      <c r="M109" s="9"/>
      <c r="N109" s="12" t="str">
        <f aca="false">IF(OR(L109="",M109=""),"",L109*M109)</f>
        <v/>
      </c>
      <c r="O109" s="13" t="str">
        <f aca="false">IF(N109="","",IF(N109&gt;=Escalas!$A$24,"Crítico",IF(N109&gt;=Escalas!$A$23,"Alto",IF(N109&gt;=Escalas!$A$22,"Medio","Bajo"))))</f>
        <v/>
      </c>
      <c r="P109" s="9"/>
      <c r="Q109" s="9"/>
      <c r="R109" s="9"/>
      <c r="S109" s="12" t="str">
        <f aca="false">IF(OR(Q109="",R109=""),"",Q109*R109)</f>
        <v/>
      </c>
      <c r="T109" s="13" t="str">
        <f aca="false">IF(S109="","",IF(S109&gt;=Escalas!$A$24,"Crítico",IF(S109&gt;=Escalas!$A$23,"Alto",IF(S109&gt;=Escalas!$A$22,"Medio","Bajo"))))</f>
        <v/>
      </c>
      <c r="U109" s="13" t="str">
        <f aca="false">IF(S109="","",IF(S109&lt;=Escalas!$D$28,"Sí","No — requiere aprobación"))</f>
        <v/>
      </c>
      <c r="V109" s="9"/>
    </row>
    <row r="110" customFormat="false" ht="15" hidden="false" customHeight="false" outlineLevel="0" collapsed="false">
      <c r="A110" s="9"/>
      <c r="B110" s="9"/>
      <c r="C110" s="11" t="str">
        <f aca="false">IF(B110="","",IFERROR(INDEX('Inventario de activos'!$B$5:$B$204,MATCH(B110,'Inventario de activos'!$A$5:$A$204,0)),"ID no encontrado"))</f>
        <v/>
      </c>
      <c r="D110" s="9"/>
      <c r="E110" s="11" t="str">
        <f aca="false">IF(D110="","",IFERROR(INDEX('Catálogo de amenazas'!$B$5:$B$204,MATCH(D110,'Catálogo de amenazas'!$A$5:$A$204,0)),"ID no encontrado"))</f>
        <v/>
      </c>
      <c r="F110" s="9"/>
      <c r="G110" s="11" t="str">
        <f aca="false">IF(F110="","",IFERROR(INDEX('Catálogo de vulnerabilidades'!$B$5:$B$204,MATCH(F110,'Catálogo de vulnerabilidades'!$A$5:$A$204,0)),"ID no encontrado"))</f>
        <v/>
      </c>
      <c r="H110" s="8"/>
      <c r="I110" s="9"/>
      <c r="J110" s="8"/>
      <c r="K110" s="8"/>
      <c r="L110" s="9"/>
      <c r="M110" s="9"/>
      <c r="N110" s="12" t="str">
        <f aca="false">IF(OR(L110="",M110=""),"",L110*M110)</f>
        <v/>
      </c>
      <c r="O110" s="13" t="str">
        <f aca="false">IF(N110="","",IF(N110&gt;=Escalas!$A$24,"Crítico",IF(N110&gt;=Escalas!$A$23,"Alto",IF(N110&gt;=Escalas!$A$22,"Medio","Bajo"))))</f>
        <v/>
      </c>
      <c r="P110" s="9"/>
      <c r="Q110" s="9"/>
      <c r="R110" s="9"/>
      <c r="S110" s="12" t="str">
        <f aca="false">IF(OR(Q110="",R110=""),"",Q110*R110)</f>
        <v/>
      </c>
      <c r="T110" s="13" t="str">
        <f aca="false">IF(S110="","",IF(S110&gt;=Escalas!$A$24,"Crítico",IF(S110&gt;=Escalas!$A$23,"Alto",IF(S110&gt;=Escalas!$A$22,"Medio","Bajo"))))</f>
        <v/>
      </c>
      <c r="U110" s="13" t="str">
        <f aca="false">IF(S110="","",IF(S110&lt;=Escalas!$D$28,"Sí","No — requiere aprobación"))</f>
        <v/>
      </c>
      <c r="V110" s="9"/>
    </row>
    <row r="111" customFormat="false" ht="15" hidden="false" customHeight="false" outlineLevel="0" collapsed="false">
      <c r="A111" s="9"/>
      <c r="B111" s="9"/>
      <c r="C111" s="11" t="str">
        <f aca="false">IF(B111="","",IFERROR(INDEX('Inventario de activos'!$B$5:$B$204,MATCH(B111,'Inventario de activos'!$A$5:$A$204,0)),"ID no encontrado"))</f>
        <v/>
      </c>
      <c r="D111" s="9"/>
      <c r="E111" s="11" t="str">
        <f aca="false">IF(D111="","",IFERROR(INDEX('Catálogo de amenazas'!$B$5:$B$204,MATCH(D111,'Catálogo de amenazas'!$A$5:$A$204,0)),"ID no encontrado"))</f>
        <v/>
      </c>
      <c r="F111" s="9"/>
      <c r="G111" s="11" t="str">
        <f aca="false">IF(F111="","",IFERROR(INDEX('Catálogo de vulnerabilidades'!$B$5:$B$204,MATCH(F111,'Catálogo de vulnerabilidades'!$A$5:$A$204,0)),"ID no encontrado"))</f>
        <v/>
      </c>
      <c r="H111" s="8"/>
      <c r="I111" s="9"/>
      <c r="J111" s="8"/>
      <c r="K111" s="8"/>
      <c r="L111" s="9"/>
      <c r="M111" s="9"/>
      <c r="N111" s="12" t="str">
        <f aca="false">IF(OR(L111="",M111=""),"",L111*M111)</f>
        <v/>
      </c>
      <c r="O111" s="13" t="str">
        <f aca="false">IF(N111="","",IF(N111&gt;=Escalas!$A$24,"Crítico",IF(N111&gt;=Escalas!$A$23,"Alto",IF(N111&gt;=Escalas!$A$22,"Medio","Bajo"))))</f>
        <v/>
      </c>
      <c r="P111" s="9"/>
      <c r="Q111" s="9"/>
      <c r="R111" s="9"/>
      <c r="S111" s="12" t="str">
        <f aca="false">IF(OR(Q111="",R111=""),"",Q111*R111)</f>
        <v/>
      </c>
      <c r="T111" s="13" t="str">
        <f aca="false">IF(S111="","",IF(S111&gt;=Escalas!$A$24,"Crítico",IF(S111&gt;=Escalas!$A$23,"Alto",IF(S111&gt;=Escalas!$A$22,"Medio","Bajo"))))</f>
        <v/>
      </c>
      <c r="U111" s="13" t="str">
        <f aca="false">IF(S111="","",IF(S111&lt;=Escalas!$D$28,"Sí","No — requiere aprobación"))</f>
        <v/>
      </c>
      <c r="V111" s="9"/>
    </row>
    <row r="112" customFormat="false" ht="15" hidden="false" customHeight="false" outlineLevel="0" collapsed="false">
      <c r="A112" s="9"/>
      <c r="B112" s="9"/>
      <c r="C112" s="11" t="str">
        <f aca="false">IF(B112="","",IFERROR(INDEX('Inventario de activos'!$B$5:$B$204,MATCH(B112,'Inventario de activos'!$A$5:$A$204,0)),"ID no encontrado"))</f>
        <v/>
      </c>
      <c r="D112" s="9"/>
      <c r="E112" s="11" t="str">
        <f aca="false">IF(D112="","",IFERROR(INDEX('Catálogo de amenazas'!$B$5:$B$204,MATCH(D112,'Catálogo de amenazas'!$A$5:$A$204,0)),"ID no encontrado"))</f>
        <v/>
      </c>
      <c r="F112" s="9"/>
      <c r="G112" s="11" t="str">
        <f aca="false">IF(F112="","",IFERROR(INDEX('Catálogo de vulnerabilidades'!$B$5:$B$204,MATCH(F112,'Catálogo de vulnerabilidades'!$A$5:$A$204,0)),"ID no encontrado"))</f>
        <v/>
      </c>
      <c r="H112" s="8"/>
      <c r="I112" s="9"/>
      <c r="J112" s="8"/>
      <c r="K112" s="8"/>
      <c r="L112" s="9"/>
      <c r="M112" s="9"/>
      <c r="N112" s="12" t="str">
        <f aca="false">IF(OR(L112="",M112=""),"",L112*M112)</f>
        <v/>
      </c>
      <c r="O112" s="13" t="str">
        <f aca="false">IF(N112="","",IF(N112&gt;=Escalas!$A$24,"Crítico",IF(N112&gt;=Escalas!$A$23,"Alto",IF(N112&gt;=Escalas!$A$22,"Medio","Bajo"))))</f>
        <v/>
      </c>
      <c r="P112" s="9"/>
      <c r="Q112" s="9"/>
      <c r="R112" s="9"/>
      <c r="S112" s="12" t="str">
        <f aca="false">IF(OR(Q112="",R112=""),"",Q112*R112)</f>
        <v/>
      </c>
      <c r="T112" s="13" t="str">
        <f aca="false">IF(S112="","",IF(S112&gt;=Escalas!$A$24,"Crítico",IF(S112&gt;=Escalas!$A$23,"Alto",IF(S112&gt;=Escalas!$A$22,"Medio","Bajo"))))</f>
        <v/>
      </c>
      <c r="U112" s="13" t="str">
        <f aca="false">IF(S112="","",IF(S112&lt;=Escalas!$D$28,"Sí","No — requiere aprobación"))</f>
        <v/>
      </c>
      <c r="V112" s="9"/>
    </row>
    <row r="113" customFormat="false" ht="15" hidden="false" customHeight="false" outlineLevel="0" collapsed="false">
      <c r="A113" s="9"/>
      <c r="B113" s="9"/>
      <c r="C113" s="11" t="str">
        <f aca="false">IF(B113="","",IFERROR(INDEX('Inventario de activos'!$B$5:$B$204,MATCH(B113,'Inventario de activos'!$A$5:$A$204,0)),"ID no encontrado"))</f>
        <v/>
      </c>
      <c r="D113" s="9"/>
      <c r="E113" s="11" t="str">
        <f aca="false">IF(D113="","",IFERROR(INDEX('Catálogo de amenazas'!$B$5:$B$204,MATCH(D113,'Catálogo de amenazas'!$A$5:$A$204,0)),"ID no encontrado"))</f>
        <v/>
      </c>
      <c r="F113" s="9"/>
      <c r="G113" s="11" t="str">
        <f aca="false">IF(F113="","",IFERROR(INDEX('Catálogo de vulnerabilidades'!$B$5:$B$204,MATCH(F113,'Catálogo de vulnerabilidades'!$A$5:$A$204,0)),"ID no encontrado"))</f>
        <v/>
      </c>
      <c r="H113" s="8"/>
      <c r="I113" s="9"/>
      <c r="J113" s="8"/>
      <c r="K113" s="8"/>
      <c r="L113" s="9"/>
      <c r="M113" s="9"/>
      <c r="N113" s="12" t="str">
        <f aca="false">IF(OR(L113="",M113=""),"",L113*M113)</f>
        <v/>
      </c>
      <c r="O113" s="13" t="str">
        <f aca="false">IF(N113="","",IF(N113&gt;=Escalas!$A$24,"Crítico",IF(N113&gt;=Escalas!$A$23,"Alto",IF(N113&gt;=Escalas!$A$22,"Medio","Bajo"))))</f>
        <v/>
      </c>
      <c r="P113" s="9"/>
      <c r="Q113" s="9"/>
      <c r="R113" s="9"/>
      <c r="S113" s="12" t="str">
        <f aca="false">IF(OR(Q113="",R113=""),"",Q113*R113)</f>
        <v/>
      </c>
      <c r="T113" s="13" t="str">
        <f aca="false">IF(S113="","",IF(S113&gt;=Escalas!$A$24,"Crítico",IF(S113&gt;=Escalas!$A$23,"Alto",IF(S113&gt;=Escalas!$A$22,"Medio","Bajo"))))</f>
        <v/>
      </c>
      <c r="U113" s="13" t="str">
        <f aca="false">IF(S113="","",IF(S113&lt;=Escalas!$D$28,"Sí","No — requiere aprobación"))</f>
        <v/>
      </c>
      <c r="V113" s="9"/>
    </row>
    <row r="114" customFormat="false" ht="15" hidden="false" customHeight="false" outlineLevel="0" collapsed="false">
      <c r="A114" s="9"/>
      <c r="B114" s="9"/>
      <c r="C114" s="11" t="str">
        <f aca="false">IF(B114="","",IFERROR(INDEX('Inventario de activos'!$B$5:$B$204,MATCH(B114,'Inventario de activos'!$A$5:$A$204,0)),"ID no encontrado"))</f>
        <v/>
      </c>
      <c r="D114" s="9"/>
      <c r="E114" s="11" t="str">
        <f aca="false">IF(D114="","",IFERROR(INDEX('Catálogo de amenazas'!$B$5:$B$204,MATCH(D114,'Catálogo de amenazas'!$A$5:$A$204,0)),"ID no encontrado"))</f>
        <v/>
      </c>
      <c r="F114" s="9"/>
      <c r="G114" s="11" t="str">
        <f aca="false">IF(F114="","",IFERROR(INDEX('Catálogo de vulnerabilidades'!$B$5:$B$204,MATCH(F114,'Catálogo de vulnerabilidades'!$A$5:$A$204,0)),"ID no encontrado"))</f>
        <v/>
      </c>
      <c r="H114" s="8"/>
      <c r="I114" s="9"/>
      <c r="J114" s="8"/>
      <c r="K114" s="8"/>
      <c r="L114" s="9"/>
      <c r="M114" s="9"/>
      <c r="N114" s="12" t="str">
        <f aca="false">IF(OR(L114="",M114=""),"",L114*M114)</f>
        <v/>
      </c>
      <c r="O114" s="13" t="str">
        <f aca="false">IF(N114="","",IF(N114&gt;=Escalas!$A$24,"Crítico",IF(N114&gt;=Escalas!$A$23,"Alto",IF(N114&gt;=Escalas!$A$22,"Medio","Bajo"))))</f>
        <v/>
      </c>
      <c r="P114" s="9"/>
      <c r="Q114" s="9"/>
      <c r="R114" s="9"/>
      <c r="S114" s="12" t="str">
        <f aca="false">IF(OR(Q114="",R114=""),"",Q114*R114)</f>
        <v/>
      </c>
      <c r="T114" s="13" t="str">
        <f aca="false">IF(S114="","",IF(S114&gt;=Escalas!$A$24,"Crítico",IF(S114&gt;=Escalas!$A$23,"Alto",IF(S114&gt;=Escalas!$A$22,"Medio","Bajo"))))</f>
        <v/>
      </c>
      <c r="U114" s="13" t="str">
        <f aca="false">IF(S114="","",IF(S114&lt;=Escalas!$D$28,"Sí","No — requiere aprobación"))</f>
        <v/>
      </c>
      <c r="V114" s="9"/>
    </row>
    <row r="115" customFormat="false" ht="15" hidden="false" customHeight="false" outlineLevel="0" collapsed="false">
      <c r="A115" s="9"/>
      <c r="B115" s="9"/>
      <c r="C115" s="11" t="str">
        <f aca="false">IF(B115="","",IFERROR(INDEX('Inventario de activos'!$B$5:$B$204,MATCH(B115,'Inventario de activos'!$A$5:$A$204,0)),"ID no encontrado"))</f>
        <v/>
      </c>
      <c r="D115" s="9"/>
      <c r="E115" s="11" t="str">
        <f aca="false">IF(D115="","",IFERROR(INDEX('Catálogo de amenazas'!$B$5:$B$204,MATCH(D115,'Catálogo de amenazas'!$A$5:$A$204,0)),"ID no encontrado"))</f>
        <v/>
      </c>
      <c r="F115" s="9"/>
      <c r="G115" s="11" t="str">
        <f aca="false">IF(F115="","",IFERROR(INDEX('Catálogo de vulnerabilidades'!$B$5:$B$204,MATCH(F115,'Catálogo de vulnerabilidades'!$A$5:$A$204,0)),"ID no encontrado"))</f>
        <v/>
      </c>
      <c r="H115" s="8"/>
      <c r="I115" s="9"/>
      <c r="J115" s="8"/>
      <c r="K115" s="8"/>
      <c r="L115" s="9"/>
      <c r="M115" s="9"/>
      <c r="N115" s="12" t="str">
        <f aca="false">IF(OR(L115="",M115=""),"",L115*M115)</f>
        <v/>
      </c>
      <c r="O115" s="13" t="str">
        <f aca="false">IF(N115="","",IF(N115&gt;=Escalas!$A$24,"Crítico",IF(N115&gt;=Escalas!$A$23,"Alto",IF(N115&gt;=Escalas!$A$22,"Medio","Bajo"))))</f>
        <v/>
      </c>
      <c r="P115" s="9"/>
      <c r="Q115" s="9"/>
      <c r="R115" s="9"/>
      <c r="S115" s="12" t="str">
        <f aca="false">IF(OR(Q115="",R115=""),"",Q115*R115)</f>
        <v/>
      </c>
      <c r="T115" s="13" t="str">
        <f aca="false">IF(S115="","",IF(S115&gt;=Escalas!$A$24,"Crítico",IF(S115&gt;=Escalas!$A$23,"Alto",IF(S115&gt;=Escalas!$A$22,"Medio","Bajo"))))</f>
        <v/>
      </c>
      <c r="U115" s="13" t="str">
        <f aca="false">IF(S115="","",IF(S115&lt;=Escalas!$D$28,"Sí","No — requiere aprobación"))</f>
        <v/>
      </c>
      <c r="V115" s="9"/>
    </row>
    <row r="116" customFormat="false" ht="15" hidden="false" customHeight="false" outlineLevel="0" collapsed="false">
      <c r="A116" s="9"/>
      <c r="B116" s="9"/>
      <c r="C116" s="11" t="str">
        <f aca="false">IF(B116="","",IFERROR(INDEX('Inventario de activos'!$B$5:$B$204,MATCH(B116,'Inventario de activos'!$A$5:$A$204,0)),"ID no encontrado"))</f>
        <v/>
      </c>
      <c r="D116" s="9"/>
      <c r="E116" s="11" t="str">
        <f aca="false">IF(D116="","",IFERROR(INDEX('Catálogo de amenazas'!$B$5:$B$204,MATCH(D116,'Catálogo de amenazas'!$A$5:$A$204,0)),"ID no encontrado"))</f>
        <v/>
      </c>
      <c r="F116" s="9"/>
      <c r="G116" s="11" t="str">
        <f aca="false">IF(F116="","",IFERROR(INDEX('Catálogo de vulnerabilidades'!$B$5:$B$204,MATCH(F116,'Catálogo de vulnerabilidades'!$A$5:$A$204,0)),"ID no encontrado"))</f>
        <v/>
      </c>
      <c r="H116" s="8"/>
      <c r="I116" s="9"/>
      <c r="J116" s="8"/>
      <c r="K116" s="8"/>
      <c r="L116" s="9"/>
      <c r="M116" s="9"/>
      <c r="N116" s="12" t="str">
        <f aca="false">IF(OR(L116="",M116=""),"",L116*M116)</f>
        <v/>
      </c>
      <c r="O116" s="13" t="str">
        <f aca="false">IF(N116="","",IF(N116&gt;=Escalas!$A$24,"Crítico",IF(N116&gt;=Escalas!$A$23,"Alto",IF(N116&gt;=Escalas!$A$22,"Medio","Bajo"))))</f>
        <v/>
      </c>
      <c r="P116" s="9"/>
      <c r="Q116" s="9"/>
      <c r="R116" s="9"/>
      <c r="S116" s="12" t="str">
        <f aca="false">IF(OR(Q116="",R116=""),"",Q116*R116)</f>
        <v/>
      </c>
      <c r="T116" s="13" t="str">
        <f aca="false">IF(S116="","",IF(S116&gt;=Escalas!$A$24,"Crítico",IF(S116&gt;=Escalas!$A$23,"Alto",IF(S116&gt;=Escalas!$A$22,"Medio","Bajo"))))</f>
        <v/>
      </c>
      <c r="U116" s="13" t="str">
        <f aca="false">IF(S116="","",IF(S116&lt;=Escalas!$D$28,"Sí","No — requiere aprobación"))</f>
        <v/>
      </c>
      <c r="V116" s="9"/>
    </row>
    <row r="117" customFormat="false" ht="15" hidden="false" customHeight="false" outlineLevel="0" collapsed="false">
      <c r="A117" s="9"/>
      <c r="B117" s="9"/>
      <c r="C117" s="11" t="str">
        <f aca="false">IF(B117="","",IFERROR(INDEX('Inventario de activos'!$B$5:$B$204,MATCH(B117,'Inventario de activos'!$A$5:$A$204,0)),"ID no encontrado"))</f>
        <v/>
      </c>
      <c r="D117" s="9"/>
      <c r="E117" s="11" t="str">
        <f aca="false">IF(D117="","",IFERROR(INDEX('Catálogo de amenazas'!$B$5:$B$204,MATCH(D117,'Catálogo de amenazas'!$A$5:$A$204,0)),"ID no encontrado"))</f>
        <v/>
      </c>
      <c r="F117" s="9"/>
      <c r="G117" s="11" t="str">
        <f aca="false">IF(F117="","",IFERROR(INDEX('Catálogo de vulnerabilidades'!$B$5:$B$204,MATCH(F117,'Catálogo de vulnerabilidades'!$A$5:$A$204,0)),"ID no encontrado"))</f>
        <v/>
      </c>
      <c r="H117" s="8"/>
      <c r="I117" s="9"/>
      <c r="J117" s="8"/>
      <c r="K117" s="8"/>
      <c r="L117" s="9"/>
      <c r="M117" s="9"/>
      <c r="N117" s="12" t="str">
        <f aca="false">IF(OR(L117="",M117=""),"",L117*M117)</f>
        <v/>
      </c>
      <c r="O117" s="13" t="str">
        <f aca="false">IF(N117="","",IF(N117&gt;=Escalas!$A$24,"Crítico",IF(N117&gt;=Escalas!$A$23,"Alto",IF(N117&gt;=Escalas!$A$22,"Medio","Bajo"))))</f>
        <v/>
      </c>
      <c r="P117" s="9"/>
      <c r="Q117" s="9"/>
      <c r="R117" s="9"/>
      <c r="S117" s="12" t="str">
        <f aca="false">IF(OR(Q117="",R117=""),"",Q117*R117)</f>
        <v/>
      </c>
      <c r="T117" s="13" t="str">
        <f aca="false">IF(S117="","",IF(S117&gt;=Escalas!$A$24,"Crítico",IF(S117&gt;=Escalas!$A$23,"Alto",IF(S117&gt;=Escalas!$A$22,"Medio","Bajo"))))</f>
        <v/>
      </c>
      <c r="U117" s="13" t="str">
        <f aca="false">IF(S117="","",IF(S117&lt;=Escalas!$D$28,"Sí","No — requiere aprobación"))</f>
        <v/>
      </c>
      <c r="V117" s="9"/>
    </row>
    <row r="118" customFormat="false" ht="15" hidden="false" customHeight="false" outlineLevel="0" collapsed="false">
      <c r="A118" s="9"/>
      <c r="B118" s="9"/>
      <c r="C118" s="11" t="str">
        <f aca="false">IF(B118="","",IFERROR(INDEX('Inventario de activos'!$B$5:$B$204,MATCH(B118,'Inventario de activos'!$A$5:$A$204,0)),"ID no encontrado"))</f>
        <v/>
      </c>
      <c r="D118" s="9"/>
      <c r="E118" s="11" t="str">
        <f aca="false">IF(D118="","",IFERROR(INDEX('Catálogo de amenazas'!$B$5:$B$204,MATCH(D118,'Catálogo de amenazas'!$A$5:$A$204,0)),"ID no encontrado"))</f>
        <v/>
      </c>
      <c r="F118" s="9"/>
      <c r="G118" s="11" t="str">
        <f aca="false">IF(F118="","",IFERROR(INDEX('Catálogo de vulnerabilidades'!$B$5:$B$204,MATCH(F118,'Catálogo de vulnerabilidades'!$A$5:$A$204,0)),"ID no encontrado"))</f>
        <v/>
      </c>
      <c r="H118" s="8"/>
      <c r="I118" s="9"/>
      <c r="J118" s="8"/>
      <c r="K118" s="8"/>
      <c r="L118" s="9"/>
      <c r="M118" s="9"/>
      <c r="N118" s="12" t="str">
        <f aca="false">IF(OR(L118="",M118=""),"",L118*M118)</f>
        <v/>
      </c>
      <c r="O118" s="13" t="str">
        <f aca="false">IF(N118="","",IF(N118&gt;=Escalas!$A$24,"Crítico",IF(N118&gt;=Escalas!$A$23,"Alto",IF(N118&gt;=Escalas!$A$22,"Medio","Bajo"))))</f>
        <v/>
      </c>
      <c r="P118" s="9"/>
      <c r="Q118" s="9"/>
      <c r="R118" s="9"/>
      <c r="S118" s="12" t="str">
        <f aca="false">IF(OR(Q118="",R118=""),"",Q118*R118)</f>
        <v/>
      </c>
      <c r="T118" s="13" t="str">
        <f aca="false">IF(S118="","",IF(S118&gt;=Escalas!$A$24,"Crítico",IF(S118&gt;=Escalas!$A$23,"Alto",IF(S118&gt;=Escalas!$A$22,"Medio","Bajo"))))</f>
        <v/>
      </c>
      <c r="U118" s="13" t="str">
        <f aca="false">IF(S118="","",IF(S118&lt;=Escalas!$D$28,"Sí","No — requiere aprobación"))</f>
        <v/>
      </c>
      <c r="V118" s="9"/>
    </row>
    <row r="119" customFormat="false" ht="15" hidden="false" customHeight="false" outlineLevel="0" collapsed="false">
      <c r="A119" s="9"/>
      <c r="B119" s="9"/>
      <c r="C119" s="11" t="str">
        <f aca="false">IF(B119="","",IFERROR(INDEX('Inventario de activos'!$B$5:$B$204,MATCH(B119,'Inventario de activos'!$A$5:$A$204,0)),"ID no encontrado"))</f>
        <v/>
      </c>
      <c r="D119" s="9"/>
      <c r="E119" s="11" t="str">
        <f aca="false">IF(D119="","",IFERROR(INDEX('Catálogo de amenazas'!$B$5:$B$204,MATCH(D119,'Catálogo de amenazas'!$A$5:$A$204,0)),"ID no encontrado"))</f>
        <v/>
      </c>
      <c r="F119" s="9"/>
      <c r="G119" s="11" t="str">
        <f aca="false">IF(F119="","",IFERROR(INDEX('Catálogo de vulnerabilidades'!$B$5:$B$204,MATCH(F119,'Catálogo de vulnerabilidades'!$A$5:$A$204,0)),"ID no encontrado"))</f>
        <v/>
      </c>
      <c r="H119" s="8"/>
      <c r="I119" s="9"/>
      <c r="J119" s="8"/>
      <c r="K119" s="8"/>
      <c r="L119" s="9"/>
      <c r="M119" s="9"/>
      <c r="N119" s="12" t="str">
        <f aca="false">IF(OR(L119="",M119=""),"",L119*M119)</f>
        <v/>
      </c>
      <c r="O119" s="13" t="str">
        <f aca="false">IF(N119="","",IF(N119&gt;=Escalas!$A$24,"Crítico",IF(N119&gt;=Escalas!$A$23,"Alto",IF(N119&gt;=Escalas!$A$22,"Medio","Bajo"))))</f>
        <v/>
      </c>
      <c r="P119" s="9"/>
      <c r="Q119" s="9"/>
      <c r="R119" s="9"/>
      <c r="S119" s="12" t="str">
        <f aca="false">IF(OR(Q119="",R119=""),"",Q119*R119)</f>
        <v/>
      </c>
      <c r="T119" s="13" t="str">
        <f aca="false">IF(S119="","",IF(S119&gt;=Escalas!$A$24,"Crítico",IF(S119&gt;=Escalas!$A$23,"Alto",IF(S119&gt;=Escalas!$A$22,"Medio","Bajo"))))</f>
        <v/>
      </c>
      <c r="U119" s="13" t="str">
        <f aca="false">IF(S119="","",IF(S119&lt;=Escalas!$D$28,"Sí","No — requiere aprobación"))</f>
        <v/>
      </c>
      <c r="V119" s="9"/>
    </row>
    <row r="120" customFormat="false" ht="15" hidden="false" customHeight="false" outlineLevel="0" collapsed="false">
      <c r="A120" s="9"/>
      <c r="B120" s="9"/>
      <c r="C120" s="11" t="str">
        <f aca="false">IF(B120="","",IFERROR(INDEX('Inventario de activos'!$B$5:$B$204,MATCH(B120,'Inventario de activos'!$A$5:$A$204,0)),"ID no encontrado"))</f>
        <v/>
      </c>
      <c r="D120" s="9"/>
      <c r="E120" s="11" t="str">
        <f aca="false">IF(D120="","",IFERROR(INDEX('Catálogo de amenazas'!$B$5:$B$204,MATCH(D120,'Catálogo de amenazas'!$A$5:$A$204,0)),"ID no encontrado"))</f>
        <v/>
      </c>
      <c r="F120" s="9"/>
      <c r="G120" s="11" t="str">
        <f aca="false">IF(F120="","",IFERROR(INDEX('Catálogo de vulnerabilidades'!$B$5:$B$204,MATCH(F120,'Catálogo de vulnerabilidades'!$A$5:$A$204,0)),"ID no encontrado"))</f>
        <v/>
      </c>
      <c r="H120" s="8"/>
      <c r="I120" s="9"/>
      <c r="J120" s="8"/>
      <c r="K120" s="8"/>
      <c r="L120" s="9"/>
      <c r="M120" s="9"/>
      <c r="N120" s="12" t="str">
        <f aca="false">IF(OR(L120="",M120=""),"",L120*M120)</f>
        <v/>
      </c>
      <c r="O120" s="13" t="str">
        <f aca="false">IF(N120="","",IF(N120&gt;=Escalas!$A$24,"Crítico",IF(N120&gt;=Escalas!$A$23,"Alto",IF(N120&gt;=Escalas!$A$22,"Medio","Bajo"))))</f>
        <v/>
      </c>
      <c r="P120" s="9"/>
      <c r="Q120" s="9"/>
      <c r="R120" s="9"/>
      <c r="S120" s="12" t="str">
        <f aca="false">IF(OR(Q120="",R120=""),"",Q120*R120)</f>
        <v/>
      </c>
      <c r="T120" s="13" t="str">
        <f aca="false">IF(S120="","",IF(S120&gt;=Escalas!$A$24,"Crítico",IF(S120&gt;=Escalas!$A$23,"Alto",IF(S120&gt;=Escalas!$A$22,"Medio","Bajo"))))</f>
        <v/>
      </c>
      <c r="U120" s="13" t="str">
        <f aca="false">IF(S120="","",IF(S120&lt;=Escalas!$D$28,"Sí","No — requiere aprobación"))</f>
        <v/>
      </c>
      <c r="V120" s="9"/>
    </row>
    <row r="121" customFormat="false" ht="15" hidden="false" customHeight="false" outlineLevel="0" collapsed="false">
      <c r="A121" s="9"/>
      <c r="B121" s="9"/>
      <c r="C121" s="11" t="str">
        <f aca="false">IF(B121="","",IFERROR(INDEX('Inventario de activos'!$B$5:$B$204,MATCH(B121,'Inventario de activos'!$A$5:$A$204,0)),"ID no encontrado"))</f>
        <v/>
      </c>
      <c r="D121" s="9"/>
      <c r="E121" s="11" t="str">
        <f aca="false">IF(D121="","",IFERROR(INDEX('Catálogo de amenazas'!$B$5:$B$204,MATCH(D121,'Catálogo de amenazas'!$A$5:$A$204,0)),"ID no encontrado"))</f>
        <v/>
      </c>
      <c r="F121" s="9"/>
      <c r="G121" s="11" t="str">
        <f aca="false">IF(F121="","",IFERROR(INDEX('Catálogo de vulnerabilidades'!$B$5:$B$204,MATCH(F121,'Catálogo de vulnerabilidades'!$A$5:$A$204,0)),"ID no encontrado"))</f>
        <v/>
      </c>
      <c r="H121" s="8"/>
      <c r="I121" s="9"/>
      <c r="J121" s="8"/>
      <c r="K121" s="8"/>
      <c r="L121" s="9"/>
      <c r="M121" s="9"/>
      <c r="N121" s="12" t="str">
        <f aca="false">IF(OR(L121="",M121=""),"",L121*M121)</f>
        <v/>
      </c>
      <c r="O121" s="13" t="str">
        <f aca="false">IF(N121="","",IF(N121&gt;=Escalas!$A$24,"Crítico",IF(N121&gt;=Escalas!$A$23,"Alto",IF(N121&gt;=Escalas!$A$22,"Medio","Bajo"))))</f>
        <v/>
      </c>
      <c r="P121" s="9"/>
      <c r="Q121" s="9"/>
      <c r="R121" s="9"/>
      <c r="S121" s="12" t="str">
        <f aca="false">IF(OR(Q121="",R121=""),"",Q121*R121)</f>
        <v/>
      </c>
      <c r="T121" s="13" t="str">
        <f aca="false">IF(S121="","",IF(S121&gt;=Escalas!$A$24,"Crítico",IF(S121&gt;=Escalas!$A$23,"Alto",IF(S121&gt;=Escalas!$A$22,"Medio","Bajo"))))</f>
        <v/>
      </c>
      <c r="U121" s="13" t="str">
        <f aca="false">IF(S121="","",IF(S121&lt;=Escalas!$D$28,"Sí","No — requiere aprobación"))</f>
        <v/>
      </c>
      <c r="V121" s="9"/>
    </row>
    <row r="122" customFormat="false" ht="15" hidden="false" customHeight="false" outlineLevel="0" collapsed="false">
      <c r="A122" s="9"/>
      <c r="B122" s="9"/>
      <c r="C122" s="11" t="str">
        <f aca="false">IF(B122="","",IFERROR(INDEX('Inventario de activos'!$B$5:$B$204,MATCH(B122,'Inventario de activos'!$A$5:$A$204,0)),"ID no encontrado"))</f>
        <v/>
      </c>
      <c r="D122" s="9"/>
      <c r="E122" s="11" t="str">
        <f aca="false">IF(D122="","",IFERROR(INDEX('Catálogo de amenazas'!$B$5:$B$204,MATCH(D122,'Catálogo de amenazas'!$A$5:$A$204,0)),"ID no encontrado"))</f>
        <v/>
      </c>
      <c r="F122" s="9"/>
      <c r="G122" s="11" t="str">
        <f aca="false">IF(F122="","",IFERROR(INDEX('Catálogo de vulnerabilidades'!$B$5:$B$204,MATCH(F122,'Catálogo de vulnerabilidades'!$A$5:$A$204,0)),"ID no encontrado"))</f>
        <v/>
      </c>
      <c r="H122" s="8"/>
      <c r="I122" s="9"/>
      <c r="J122" s="8"/>
      <c r="K122" s="8"/>
      <c r="L122" s="9"/>
      <c r="M122" s="9"/>
      <c r="N122" s="12" t="str">
        <f aca="false">IF(OR(L122="",M122=""),"",L122*M122)</f>
        <v/>
      </c>
      <c r="O122" s="13" t="str">
        <f aca="false">IF(N122="","",IF(N122&gt;=Escalas!$A$24,"Crítico",IF(N122&gt;=Escalas!$A$23,"Alto",IF(N122&gt;=Escalas!$A$22,"Medio","Bajo"))))</f>
        <v/>
      </c>
      <c r="P122" s="9"/>
      <c r="Q122" s="9"/>
      <c r="R122" s="9"/>
      <c r="S122" s="12" t="str">
        <f aca="false">IF(OR(Q122="",R122=""),"",Q122*R122)</f>
        <v/>
      </c>
      <c r="T122" s="13" t="str">
        <f aca="false">IF(S122="","",IF(S122&gt;=Escalas!$A$24,"Crítico",IF(S122&gt;=Escalas!$A$23,"Alto",IF(S122&gt;=Escalas!$A$22,"Medio","Bajo"))))</f>
        <v/>
      </c>
      <c r="U122" s="13" t="str">
        <f aca="false">IF(S122="","",IF(S122&lt;=Escalas!$D$28,"Sí","No — requiere aprobación"))</f>
        <v/>
      </c>
      <c r="V122" s="9"/>
    </row>
    <row r="123" customFormat="false" ht="15" hidden="false" customHeight="false" outlineLevel="0" collapsed="false">
      <c r="A123" s="9"/>
      <c r="B123" s="9"/>
      <c r="C123" s="11" t="str">
        <f aca="false">IF(B123="","",IFERROR(INDEX('Inventario de activos'!$B$5:$B$204,MATCH(B123,'Inventario de activos'!$A$5:$A$204,0)),"ID no encontrado"))</f>
        <v/>
      </c>
      <c r="D123" s="9"/>
      <c r="E123" s="11" t="str">
        <f aca="false">IF(D123="","",IFERROR(INDEX('Catálogo de amenazas'!$B$5:$B$204,MATCH(D123,'Catálogo de amenazas'!$A$5:$A$204,0)),"ID no encontrado"))</f>
        <v/>
      </c>
      <c r="F123" s="9"/>
      <c r="G123" s="11" t="str">
        <f aca="false">IF(F123="","",IFERROR(INDEX('Catálogo de vulnerabilidades'!$B$5:$B$204,MATCH(F123,'Catálogo de vulnerabilidades'!$A$5:$A$204,0)),"ID no encontrado"))</f>
        <v/>
      </c>
      <c r="H123" s="8"/>
      <c r="I123" s="9"/>
      <c r="J123" s="8"/>
      <c r="K123" s="8"/>
      <c r="L123" s="9"/>
      <c r="M123" s="9"/>
      <c r="N123" s="12" t="str">
        <f aca="false">IF(OR(L123="",M123=""),"",L123*M123)</f>
        <v/>
      </c>
      <c r="O123" s="13" t="str">
        <f aca="false">IF(N123="","",IF(N123&gt;=Escalas!$A$24,"Crítico",IF(N123&gt;=Escalas!$A$23,"Alto",IF(N123&gt;=Escalas!$A$22,"Medio","Bajo"))))</f>
        <v/>
      </c>
      <c r="P123" s="9"/>
      <c r="Q123" s="9"/>
      <c r="R123" s="9"/>
      <c r="S123" s="12" t="str">
        <f aca="false">IF(OR(Q123="",R123=""),"",Q123*R123)</f>
        <v/>
      </c>
      <c r="T123" s="13" t="str">
        <f aca="false">IF(S123="","",IF(S123&gt;=Escalas!$A$24,"Crítico",IF(S123&gt;=Escalas!$A$23,"Alto",IF(S123&gt;=Escalas!$A$22,"Medio","Bajo"))))</f>
        <v/>
      </c>
      <c r="U123" s="13" t="str">
        <f aca="false">IF(S123="","",IF(S123&lt;=Escalas!$D$28,"Sí","No — requiere aprobación"))</f>
        <v/>
      </c>
      <c r="V123" s="9"/>
    </row>
    <row r="124" customFormat="false" ht="15" hidden="false" customHeight="false" outlineLevel="0" collapsed="false">
      <c r="A124" s="9"/>
      <c r="B124" s="9"/>
      <c r="C124" s="11" t="str">
        <f aca="false">IF(B124="","",IFERROR(INDEX('Inventario de activos'!$B$5:$B$204,MATCH(B124,'Inventario de activos'!$A$5:$A$204,0)),"ID no encontrado"))</f>
        <v/>
      </c>
      <c r="D124" s="9"/>
      <c r="E124" s="11" t="str">
        <f aca="false">IF(D124="","",IFERROR(INDEX('Catálogo de amenazas'!$B$5:$B$204,MATCH(D124,'Catálogo de amenazas'!$A$5:$A$204,0)),"ID no encontrado"))</f>
        <v/>
      </c>
      <c r="F124" s="9"/>
      <c r="G124" s="11" t="str">
        <f aca="false">IF(F124="","",IFERROR(INDEX('Catálogo de vulnerabilidades'!$B$5:$B$204,MATCH(F124,'Catálogo de vulnerabilidades'!$A$5:$A$204,0)),"ID no encontrado"))</f>
        <v/>
      </c>
      <c r="H124" s="8"/>
      <c r="I124" s="9"/>
      <c r="J124" s="8"/>
      <c r="K124" s="8"/>
      <c r="L124" s="9"/>
      <c r="M124" s="9"/>
      <c r="N124" s="12" t="str">
        <f aca="false">IF(OR(L124="",M124=""),"",L124*M124)</f>
        <v/>
      </c>
      <c r="O124" s="13" t="str">
        <f aca="false">IF(N124="","",IF(N124&gt;=Escalas!$A$24,"Crítico",IF(N124&gt;=Escalas!$A$23,"Alto",IF(N124&gt;=Escalas!$A$22,"Medio","Bajo"))))</f>
        <v/>
      </c>
      <c r="P124" s="9"/>
      <c r="Q124" s="9"/>
      <c r="R124" s="9"/>
      <c r="S124" s="12" t="str">
        <f aca="false">IF(OR(Q124="",R124=""),"",Q124*R124)</f>
        <v/>
      </c>
      <c r="T124" s="13" t="str">
        <f aca="false">IF(S124="","",IF(S124&gt;=Escalas!$A$24,"Crítico",IF(S124&gt;=Escalas!$A$23,"Alto",IF(S124&gt;=Escalas!$A$22,"Medio","Bajo"))))</f>
        <v/>
      </c>
      <c r="U124" s="13" t="str">
        <f aca="false">IF(S124="","",IF(S124&lt;=Escalas!$D$28,"Sí","No — requiere aprobación"))</f>
        <v/>
      </c>
      <c r="V124" s="9"/>
    </row>
    <row r="125" customFormat="false" ht="15" hidden="false" customHeight="false" outlineLevel="0" collapsed="false">
      <c r="A125" s="9"/>
      <c r="B125" s="9"/>
      <c r="C125" s="11" t="str">
        <f aca="false">IF(B125="","",IFERROR(INDEX('Inventario de activos'!$B$5:$B$204,MATCH(B125,'Inventario de activos'!$A$5:$A$204,0)),"ID no encontrado"))</f>
        <v/>
      </c>
      <c r="D125" s="9"/>
      <c r="E125" s="11" t="str">
        <f aca="false">IF(D125="","",IFERROR(INDEX('Catálogo de amenazas'!$B$5:$B$204,MATCH(D125,'Catálogo de amenazas'!$A$5:$A$204,0)),"ID no encontrado"))</f>
        <v/>
      </c>
      <c r="F125" s="9"/>
      <c r="G125" s="11" t="str">
        <f aca="false">IF(F125="","",IFERROR(INDEX('Catálogo de vulnerabilidades'!$B$5:$B$204,MATCH(F125,'Catálogo de vulnerabilidades'!$A$5:$A$204,0)),"ID no encontrado"))</f>
        <v/>
      </c>
      <c r="H125" s="8"/>
      <c r="I125" s="9"/>
      <c r="J125" s="8"/>
      <c r="K125" s="8"/>
      <c r="L125" s="9"/>
      <c r="M125" s="9"/>
      <c r="N125" s="12" t="str">
        <f aca="false">IF(OR(L125="",M125=""),"",L125*M125)</f>
        <v/>
      </c>
      <c r="O125" s="13" t="str">
        <f aca="false">IF(N125="","",IF(N125&gt;=Escalas!$A$24,"Crítico",IF(N125&gt;=Escalas!$A$23,"Alto",IF(N125&gt;=Escalas!$A$22,"Medio","Bajo"))))</f>
        <v/>
      </c>
      <c r="P125" s="9"/>
      <c r="Q125" s="9"/>
      <c r="R125" s="9"/>
      <c r="S125" s="12" t="str">
        <f aca="false">IF(OR(Q125="",R125=""),"",Q125*R125)</f>
        <v/>
      </c>
      <c r="T125" s="13" t="str">
        <f aca="false">IF(S125="","",IF(S125&gt;=Escalas!$A$24,"Crítico",IF(S125&gt;=Escalas!$A$23,"Alto",IF(S125&gt;=Escalas!$A$22,"Medio","Bajo"))))</f>
        <v/>
      </c>
      <c r="U125" s="13" t="str">
        <f aca="false">IF(S125="","",IF(S125&lt;=Escalas!$D$28,"Sí","No — requiere aprobación"))</f>
        <v/>
      </c>
      <c r="V125" s="9"/>
    </row>
    <row r="126" customFormat="false" ht="15" hidden="false" customHeight="false" outlineLevel="0" collapsed="false">
      <c r="A126" s="9"/>
      <c r="B126" s="9"/>
      <c r="C126" s="11" t="str">
        <f aca="false">IF(B126="","",IFERROR(INDEX('Inventario de activos'!$B$5:$B$204,MATCH(B126,'Inventario de activos'!$A$5:$A$204,0)),"ID no encontrado"))</f>
        <v/>
      </c>
      <c r="D126" s="9"/>
      <c r="E126" s="11" t="str">
        <f aca="false">IF(D126="","",IFERROR(INDEX('Catálogo de amenazas'!$B$5:$B$204,MATCH(D126,'Catálogo de amenazas'!$A$5:$A$204,0)),"ID no encontrado"))</f>
        <v/>
      </c>
      <c r="F126" s="9"/>
      <c r="G126" s="11" t="str">
        <f aca="false">IF(F126="","",IFERROR(INDEX('Catálogo de vulnerabilidades'!$B$5:$B$204,MATCH(F126,'Catálogo de vulnerabilidades'!$A$5:$A$204,0)),"ID no encontrado"))</f>
        <v/>
      </c>
      <c r="H126" s="8"/>
      <c r="I126" s="9"/>
      <c r="J126" s="8"/>
      <c r="K126" s="8"/>
      <c r="L126" s="9"/>
      <c r="M126" s="9"/>
      <c r="N126" s="12" t="str">
        <f aca="false">IF(OR(L126="",M126=""),"",L126*M126)</f>
        <v/>
      </c>
      <c r="O126" s="13" t="str">
        <f aca="false">IF(N126="","",IF(N126&gt;=Escalas!$A$24,"Crítico",IF(N126&gt;=Escalas!$A$23,"Alto",IF(N126&gt;=Escalas!$A$22,"Medio","Bajo"))))</f>
        <v/>
      </c>
      <c r="P126" s="9"/>
      <c r="Q126" s="9"/>
      <c r="R126" s="9"/>
      <c r="S126" s="12" t="str">
        <f aca="false">IF(OR(Q126="",R126=""),"",Q126*R126)</f>
        <v/>
      </c>
      <c r="T126" s="13" t="str">
        <f aca="false">IF(S126="","",IF(S126&gt;=Escalas!$A$24,"Crítico",IF(S126&gt;=Escalas!$A$23,"Alto",IF(S126&gt;=Escalas!$A$22,"Medio","Bajo"))))</f>
        <v/>
      </c>
      <c r="U126" s="13" t="str">
        <f aca="false">IF(S126="","",IF(S126&lt;=Escalas!$D$28,"Sí","No — requiere aprobación"))</f>
        <v/>
      </c>
      <c r="V126" s="9"/>
    </row>
    <row r="127" customFormat="false" ht="15" hidden="false" customHeight="false" outlineLevel="0" collapsed="false">
      <c r="A127" s="9"/>
      <c r="B127" s="9"/>
      <c r="C127" s="11" t="str">
        <f aca="false">IF(B127="","",IFERROR(INDEX('Inventario de activos'!$B$5:$B$204,MATCH(B127,'Inventario de activos'!$A$5:$A$204,0)),"ID no encontrado"))</f>
        <v/>
      </c>
      <c r="D127" s="9"/>
      <c r="E127" s="11" t="str">
        <f aca="false">IF(D127="","",IFERROR(INDEX('Catálogo de amenazas'!$B$5:$B$204,MATCH(D127,'Catálogo de amenazas'!$A$5:$A$204,0)),"ID no encontrado"))</f>
        <v/>
      </c>
      <c r="F127" s="9"/>
      <c r="G127" s="11" t="str">
        <f aca="false">IF(F127="","",IFERROR(INDEX('Catálogo de vulnerabilidades'!$B$5:$B$204,MATCH(F127,'Catálogo de vulnerabilidades'!$A$5:$A$204,0)),"ID no encontrado"))</f>
        <v/>
      </c>
      <c r="H127" s="8"/>
      <c r="I127" s="9"/>
      <c r="J127" s="8"/>
      <c r="K127" s="8"/>
      <c r="L127" s="9"/>
      <c r="M127" s="9"/>
      <c r="N127" s="12" t="str">
        <f aca="false">IF(OR(L127="",M127=""),"",L127*M127)</f>
        <v/>
      </c>
      <c r="O127" s="13" t="str">
        <f aca="false">IF(N127="","",IF(N127&gt;=Escalas!$A$24,"Crítico",IF(N127&gt;=Escalas!$A$23,"Alto",IF(N127&gt;=Escalas!$A$22,"Medio","Bajo"))))</f>
        <v/>
      </c>
      <c r="P127" s="9"/>
      <c r="Q127" s="9"/>
      <c r="R127" s="9"/>
      <c r="S127" s="12" t="str">
        <f aca="false">IF(OR(Q127="",R127=""),"",Q127*R127)</f>
        <v/>
      </c>
      <c r="T127" s="13" t="str">
        <f aca="false">IF(S127="","",IF(S127&gt;=Escalas!$A$24,"Crítico",IF(S127&gt;=Escalas!$A$23,"Alto",IF(S127&gt;=Escalas!$A$22,"Medio","Bajo"))))</f>
        <v/>
      </c>
      <c r="U127" s="13" t="str">
        <f aca="false">IF(S127="","",IF(S127&lt;=Escalas!$D$28,"Sí","No — requiere aprobación"))</f>
        <v/>
      </c>
      <c r="V127" s="9"/>
    </row>
    <row r="128" customFormat="false" ht="15" hidden="false" customHeight="false" outlineLevel="0" collapsed="false">
      <c r="A128" s="9"/>
      <c r="B128" s="9"/>
      <c r="C128" s="11" t="str">
        <f aca="false">IF(B128="","",IFERROR(INDEX('Inventario de activos'!$B$5:$B$204,MATCH(B128,'Inventario de activos'!$A$5:$A$204,0)),"ID no encontrado"))</f>
        <v/>
      </c>
      <c r="D128" s="9"/>
      <c r="E128" s="11" t="str">
        <f aca="false">IF(D128="","",IFERROR(INDEX('Catálogo de amenazas'!$B$5:$B$204,MATCH(D128,'Catálogo de amenazas'!$A$5:$A$204,0)),"ID no encontrado"))</f>
        <v/>
      </c>
      <c r="F128" s="9"/>
      <c r="G128" s="11" t="str">
        <f aca="false">IF(F128="","",IFERROR(INDEX('Catálogo de vulnerabilidades'!$B$5:$B$204,MATCH(F128,'Catálogo de vulnerabilidades'!$A$5:$A$204,0)),"ID no encontrado"))</f>
        <v/>
      </c>
      <c r="H128" s="8"/>
      <c r="I128" s="9"/>
      <c r="J128" s="8"/>
      <c r="K128" s="8"/>
      <c r="L128" s="9"/>
      <c r="M128" s="9"/>
      <c r="N128" s="12" t="str">
        <f aca="false">IF(OR(L128="",M128=""),"",L128*M128)</f>
        <v/>
      </c>
      <c r="O128" s="13" t="str">
        <f aca="false">IF(N128="","",IF(N128&gt;=Escalas!$A$24,"Crítico",IF(N128&gt;=Escalas!$A$23,"Alto",IF(N128&gt;=Escalas!$A$22,"Medio","Bajo"))))</f>
        <v/>
      </c>
      <c r="P128" s="9"/>
      <c r="Q128" s="9"/>
      <c r="R128" s="9"/>
      <c r="S128" s="12" t="str">
        <f aca="false">IF(OR(Q128="",R128=""),"",Q128*R128)</f>
        <v/>
      </c>
      <c r="T128" s="13" t="str">
        <f aca="false">IF(S128="","",IF(S128&gt;=Escalas!$A$24,"Crítico",IF(S128&gt;=Escalas!$A$23,"Alto",IF(S128&gt;=Escalas!$A$22,"Medio","Bajo"))))</f>
        <v/>
      </c>
      <c r="U128" s="13" t="str">
        <f aca="false">IF(S128="","",IF(S128&lt;=Escalas!$D$28,"Sí","No — requiere aprobación"))</f>
        <v/>
      </c>
      <c r="V128" s="9"/>
    </row>
    <row r="129" customFormat="false" ht="15" hidden="false" customHeight="false" outlineLevel="0" collapsed="false">
      <c r="A129" s="9"/>
      <c r="B129" s="9"/>
      <c r="C129" s="11" t="str">
        <f aca="false">IF(B129="","",IFERROR(INDEX('Inventario de activos'!$B$5:$B$204,MATCH(B129,'Inventario de activos'!$A$5:$A$204,0)),"ID no encontrado"))</f>
        <v/>
      </c>
      <c r="D129" s="9"/>
      <c r="E129" s="11" t="str">
        <f aca="false">IF(D129="","",IFERROR(INDEX('Catálogo de amenazas'!$B$5:$B$204,MATCH(D129,'Catálogo de amenazas'!$A$5:$A$204,0)),"ID no encontrado"))</f>
        <v/>
      </c>
      <c r="F129" s="9"/>
      <c r="G129" s="11" t="str">
        <f aca="false">IF(F129="","",IFERROR(INDEX('Catálogo de vulnerabilidades'!$B$5:$B$204,MATCH(F129,'Catálogo de vulnerabilidades'!$A$5:$A$204,0)),"ID no encontrado"))</f>
        <v/>
      </c>
      <c r="H129" s="8"/>
      <c r="I129" s="9"/>
      <c r="J129" s="8"/>
      <c r="K129" s="8"/>
      <c r="L129" s="9"/>
      <c r="M129" s="9"/>
      <c r="N129" s="12" t="str">
        <f aca="false">IF(OR(L129="",M129=""),"",L129*M129)</f>
        <v/>
      </c>
      <c r="O129" s="13" t="str">
        <f aca="false">IF(N129="","",IF(N129&gt;=Escalas!$A$24,"Crítico",IF(N129&gt;=Escalas!$A$23,"Alto",IF(N129&gt;=Escalas!$A$22,"Medio","Bajo"))))</f>
        <v/>
      </c>
      <c r="P129" s="9"/>
      <c r="Q129" s="9"/>
      <c r="R129" s="9"/>
      <c r="S129" s="12" t="str">
        <f aca="false">IF(OR(Q129="",R129=""),"",Q129*R129)</f>
        <v/>
      </c>
      <c r="T129" s="13" t="str">
        <f aca="false">IF(S129="","",IF(S129&gt;=Escalas!$A$24,"Crítico",IF(S129&gt;=Escalas!$A$23,"Alto",IF(S129&gt;=Escalas!$A$22,"Medio","Bajo"))))</f>
        <v/>
      </c>
      <c r="U129" s="13" t="str">
        <f aca="false">IF(S129="","",IF(S129&lt;=Escalas!$D$28,"Sí","No — requiere aprobación"))</f>
        <v/>
      </c>
      <c r="V129" s="9"/>
    </row>
    <row r="130" customFormat="false" ht="15" hidden="false" customHeight="false" outlineLevel="0" collapsed="false">
      <c r="A130" s="9"/>
      <c r="B130" s="9"/>
      <c r="C130" s="11" t="str">
        <f aca="false">IF(B130="","",IFERROR(INDEX('Inventario de activos'!$B$5:$B$204,MATCH(B130,'Inventario de activos'!$A$5:$A$204,0)),"ID no encontrado"))</f>
        <v/>
      </c>
      <c r="D130" s="9"/>
      <c r="E130" s="11" t="str">
        <f aca="false">IF(D130="","",IFERROR(INDEX('Catálogo de amenazas'!$B$5:$B$204,MATCH(D130,'Catálogo de amenazas'!$A$5:$A$204,0)),"ID no encontrado"))</f>
        <v/>
      </c>
      <c r="F130" s="9"/>
      <c r="G130" s="11" t="str">
        <f aca="false">IF(F130="","",IFERROR(INDEX('Catálogo de vulnerabilidades'!$B$5:$B$204,MATCH(F130,'Catálogo de vulnerabilidades'!$A$5:$A$204,0)),"ID no encontrado"))</f>
        <v/>
      </c>
      <c r="H130" s="8"/>
      <c r="I130" s="9"/>
      <c r="J130" s="8"/>
      <c r="K130" s="8"/>
      <c r="L130" s="9"/>
      <c r="M130" s="9"/>
      <c r="N130" s="12" t="str">
        <f aca="false">IF(OR(L130="",M130=""),"",L130*M130)</f>
        <v/>
      </c>
      <c r="O130" s="13" t="str">
        <f aca="false">IF(N130="","",IF(N130&gt;=Escalas!$A$24,"Crítico",IF(N130&gt;=Escalas!$A$23,"Alto",IF(N130&gt;=Escalas!$A$22,"Medio","Bajo"))))</f>
        <v/>
      </c>
      <c r="P130" s="9"/>
      <c r="Q130" s="9"/>
      <c r="R130" s="9"/>
      <c r="S130" s="12" t="str">
        <f aca="false">IF(OR(Q130="",R130=""),"",Q130*R130)</f>
        <v/>
      </c>
      <c r="T130" s="13" t="str">
        <f aca="false">IF(S130="","",IF(S130&gt;=Escalas!$A$24,"Crítico",IF(S130&gt;=Escalas!$A$23,"Alto",IF(S130&gt;=Escalas!$A$22,"Medio","Bajo"))))</f>
        <v/>
      </c>
      <c r="U130" s="13" t="str">
        <f aca="false">IF(S130="","",IF(S130&lt;=Escalas!$D$28,"Sí","No — requiere aprobación"))</f>
        <v/>
      </c>
      <c r="V130" s="9"/>
    </row>
    <row r="131" customFormat="false" ht="15" hidden="false" customHeight="false" outlineLevel="0" collapsed="false">
      <c r="A131" s="9"/>
      <c r="B131" s="9"/>
      <c r="C131" s="11" t="str">
        <f aca="false">IF(B131="","",IFERROR(INDEX('Inventario de activos'!$B$5:$B$204,MATCH(B131,'Inventario de activos'!$A$5:$A$204,0)),"ID no encontrado"))</f>
        <v/>
      </c>
      <c r="D131" s="9"/>
      <c r="E131" s="11" t="str">
        <f aca="false">IF(D131="","",IFERROR(INDEX('Catálogo de amenazas'!$B$5:$B$204,MATCH(D131,'Catálogo de amenazas'!$A$5:$A$204,0)),"ID no encontrado"))</f>
        <v/>
      </c>
      <c r="F131" s="9"/>
      <c r="G131" s="11" t="str">
        <f aca="false">IF(F131="","",IFERROR(INDEX('Catálogo de vulnerabilidades'!$B$5:$B$204,MATCH(F131,'Catálogo de vulnerabilidades'!$A$5:$A$204,0)),"ID no encontrado"))</f>
        <v/>
      </c>
      <c r="H131" s="8"/>
      <c r="I131" s="9"/>
      <c r="J131" s="8"/>
      <c r="K131" s="8"/>
      <c r="L131" s="9"/>
      <c r="M131" s="9"/>
      <c r="N131" s="12" t="str">
        <f aca="false">IF(OR(L131="",M131=""),"",L131*M131)</f>
        <v/>
      </c>
      <c r="O131" s="13" t="str">
        <f aca="false">IF(N131="","",IF(N131&gt;=Escalas!$A$24,"Crítico",IF(N131&gt;=Escalas!$A$23,"Alto",IF(N131&gt;=Escalas!$A$22,"Medio","Bajo"))))</f>
        <v/>
      </c>
      <c r="P131" s="9"/>
      <c r="Q131" s="9"/>
      <c r="R131" s="9"/>
      <c r="S131" s="12" t="str">
        <f aca="false">IF(OR(Q131="",R131=""),"",Q131*R131)</f>
        <v/>
      </c>
      <c r="T131" s="13" t="str">
        <f aca="false">IF(S131="","",IF(S131&gt;=Escalas!$A$24,"Crítico",IF(S131&gt;=Escalas!$A$23,"Alto",IF(S131&gt;=Escalas!$A$22,"Medio","Bajo"))))</f>
        <v/>
      </c>
      <c r="U131" s="13" t="str">
        <f aca="false">IF(S131="","",IF(S131&lt;=Escalas!$D$28,"Sí","No — requiere aprobación"))</f>
        <v/>
      </c>
      <c r="V131" s="9"/>
    </row>
    <row r="132" customFormat="false" ht="15" hidden="false" customHeight="false" outlineLevel="0" collapsed="false">
      <c r="A132" s="9"/>
      <c r="B132" s="9"/>
      <c r="C132" s="11" t="str">
        <f aca="false">IF(B132="","",IFERROR(INDEX('Inventario de activos'!$B$5:$B$204,MATCH(B132,'Inventario de activos'!$A$5:$A$204,0)),"ID no encontrado"))</f>
        <v/>
      </c>
      <c r="D132" s="9"/>
      <c r="E132" s="11" t="str">
        <f aca="false">IF(D132="","",IFERROR(INDEX('Catálogo de amenazas'!$B$5:$B$204,MATCH(D132,'Catálogo de amenazas'!$A$5:$A$204,0)),"ID no encontrado"))</f>
        <v/>
      </c>
      <c r="F132" s="9"/>
      <c r="G132" s="11" t="str">
        <f aca="false">IF(F132="","",IFERROR(INDEX('Catálogo de vulnerabilidades'!$B$5:$B$204,MATCH(F132,'Catálogo de vulnerabilidades'!$A$5:$A$204,0)),"ID no encontrado"))</f>
        <v/>
      </c>
      <c r="H132" s="8"/>
      <c r="I132" s="9"/>
      <c r="J132" s="8"/>
      <c r="K132" s="8"/>
      <c r="L132" s="9"/>
      <c r="M132" s="9"/>
      <c r="N132" s="12" t="str">
        <f aca="false">IF(OR(L132="",M132=""),"",L132*M132)</f>
        <v/>
      </c>
      <c r="O132" s="13" t="str">
        <f aca="false">IF(N132="","",IF(N132&gt;=Escalas!$A$24,"Crítico",IF(N132&gt;=Escalas!$A$23,"Alto",IF(N132&gt;=Escalas!$A$22,"Medio","Bajo"))))</f>
        <v/>
      </c>
      <c r="P132" s="9"/>
      <c r="Q132" s="9"/>
      <c r="R132" s="9"/>
      <c r="S132" s="12" t="str">
        <f aca="false">IF(OR(Q132="",R132=""),"",Q132*R132)</f>
        <v/>
      </c>
      <c r="T132" s="13" t="str">
        <f aca="false">IF(S132="","",IF(S132&gt;=Escalas!$A$24,"Crítico",IF(S132&gt;=Escalas!$A$23,"Alto",IF(S132&gt;=Escalas!$A$22,"Medio","Bajo"))))</f>
        <v/>
      </c>
      <c r="U132" s="13" t="str">
        <f aca="false">IF(S132="","",IF(S132&lt;=Escalas!$D$28,"Sí","No — requiere aprobación"))</f>
        <v/>
      </c>
      <c r="V132" s="9"/>
    </row>
    <row r="133" customFormat="false" ht="15" hidden="false" customHeight="false" outlineLevel="0" collapsed="false">
      <c r="A133" s="9"/>
      <c r="B133" s="9"/>
      <c r="C133" s="11" t="str">
        <f aca="false">IF(B133="","",IFERROR(INDEX('Inventario de activos'!$B$5:$B$204,MATCH(B133,'Inventario de activos'!$A$5:$A$204,0)),"ID no encontrado"))</f>
        <v/>
      </c>
      <c r="D133" s="9"/>
      <c r="E133" s="11" t="str">
        <f aca="false">IF(D133="","",IFERROR(INDEX('Catálogo de amenazas'!$B$5:$B$204,MATCH(D133,'Catálogo de amenazas'!$A$5:$A$204,0)),"ID no encontrado"))</f>
        <v/>
      </c>
      <c r="F133" s="9"/>
      <c r="G133" s="11" t="str">
        <f aca="false">IF(F133="","",IFERROR(INDEX('Catálogo de vulnerabilidades'!$B$5:$B$204,MATCH(F133,'Catálogo de vulnerabilidades'!$A$5:$A$204,0)),"ID no encontrado"))</f>
        <v/>
      </c>
      <c r="H133" s="8"/>
      <c r="I133" s="9"/>
      <c r="J133" s="8"/>
      <c r="K133" s="8"/>
      <c r="L133" s="9"/>
      <c r="M133" s="9"/>
      <c r="N133" s="12" t="str">
        <f aca="false">IF(OR(L133="",M133=""),"",L133*M133)</f>
        <v/>
      </c>
      <c r="O133" s="13" t="str">
        <f aca="false">IF(N133="","",IF(N133&gt;=Escalas!$A$24,"Crítico",IF(N133&gt;=Escalas!$A$23,"Alto",IF(N133&gt;=Escalas!$A$22,"Medio","Bajo"))))</f>
        <v/>
      </c>
      <c r="P133" s="9"/>
      <c r="Q133" s="9"/>
      <c r="R133" s="9"/>
      <c r="S133" s="12" t="str">
        <f aca="false">IF(OR(Q133="",R133=""),"",Q133*R133)</f>
        <v/>
      </c>
      <c r="T133" s="13" t="str">
        <f aca="false">IF(S133="","",IF(S133&gt;=Escalas!$A$24,"Crítico",IF(S133&gt;=Escalas!$A$23,"Alto",IF(S133&gt;=Escalas!$A$22,"Medio","Bajo"))))</f>
        <v/>
      </c>
      <c r="U133" s="13" t="str">
        <f aca="false">IF(S133="","",IF(S133&lt;=Escalas!$D$28,"Sí","No — requiere aprobación"))</f>
        <v/>
      </c>
      <c r="V133" s="9"/>
    </row>
    <row r="134" customFormat="false" ht="15" hidden="false" customHeight="false" outlineLevel="0" collapsed="false">
      <c r="A134" s="9"/>
      <c r="B134" s="9"/>
      <c r="C134" s="11" t="str">
        <f aca="false">IF(B134="","",IFERROR(INDEX('Inventario de activos'!$B$5:$B$204,MATCH(B134,'Inventario de activos'!$A$5:$A$204,0)),"ID no encontrado"))</f>
        <v/>
      </c>
      <c r="D134" s="9"/>
      <c r="E134" s="11" t="str">
        <f aca="false">IF(D134="","",IFERROR(INDEX('Catálogo de amenazas'!$B$5:$B$204,MATCH(D134,'Catálogo de amenazas'!$A$5:$A$204,0)),"ID no encontrado"))</f>
        <v/>
      </c>
      <c r="F134" s="9"/>
      <c r="G134" s="11" t="str">
        <f aca="false">IF(F134="","",IFERROR(INDEX('Catálogo de vulnerabilidades'!$B$5:$B$204,MATCH(F134,'Catálogo de vulnerabilidades'!$A$5:$A$204,0)),"ID no encontrado"))</f>
        <v/>
      </c>
      <c r="H134" s="8"/>
      <c r="I134" s="9"/>
      <c r="J134" s="8"/>
      <c r="K134" s="8"/>
      <c r="L134" s="9"/>
      <c r="M134" s="9"/>
      <c r="N134" s="12" t="str">
        <f aca="false">IF(OR(L134="",M134=""),"",L134*M134)</f>
        <v/>
      </c>
      <c r="O134" s="13" t="str">
        <f aca="false">IF(N134="","",IF(N134&gt;=Escalas!$A$24,"Crítico",IF(N134&gt;=Escalas!$A$23,"Alto",IF(N134&gt;=Escalas!$A$22,"Medio","Bajo"))))</f>
        <v/>
      </c>
      <c r="P134" s="9"/>
      <c r="Q134" s="9"/>
      <c r="R134" s="9"/>
      <c r="S134" s="12" t="str">
        <f aca="false">IF(OR(Q134="",R134=""),"",Q134*R134)</f>
        <v/>
      </c>
      <c r="T134" s="13" t="str">
        <f aca="false">IF(S134="","",IF(S134&gt;=Escalas!$A$24,"Crítico",IF(S134&gt;=Escalas!$A$23,"Alto",IF(S134&gt;=Escalas!$A$22,"Medio","Bajo"))))</f>
        <v/>
      </c>
      <c r="U134" s="13" t="str">
        <f aca="false">IF(S134="","",IF(S134&lt;=Escalas!$D$28,"Sí","No — requiere aprobación"))</f>
        <v/>
      </c>
      <c r="V134" s="9"/>
    </row>
    <row r="135" customFormat="false" ht="15" hidden="false" customHeight="false" outlineLevel="0" collapsed="false">
      <c r="A135" s="9"/>
      <c r="B135" s="9"/>
      <c r="C135" s="11" t="str">
        <f aca="false">IF(B135="","",IFERROR(INDEX('Inventario de activos'!$B$5:$B$204,MATCH(B135,'Inventario de activos'!$A$5:$A$204,0)),"ID no encontrado"))</f>
        <v/>
      </c>
      <c r="D135" s="9"/>
      <c r="E135" s="11" t="str">
        <f aca="false">IF(D135="","",IFERROR(INDEX('Catálogo de amenazas'!$B$5:$B$204,MATCH(D135,'Catálogo de amenazas'!$A$5:$A$204,0)),"ID no encontrado"))</f>
        <v/>
      </c>
      <c r="F135" s="9"/>
      <c r="G135" s="11" t="str">
        <f aca="false">IF(F135="","",IFERROR(INDEX('Catálogo de vulnerabilidades'!$B$5:$B$204,MATCH(F135,'Catálogo de vulnerabilidades'!$A$5:$A$204,0)),"ID no encontrado"))</f>
        <v/>
      </c>
      <c r="H135" s="8"/>
      <c r="I135" s="9"/>
      <c r="J135" s="8"/>
      <c r="K135" s="8"/>
      <c r="L135" s="9"/>
      <c r="M135" s="9"/>
      <c r="N135" s="12" t="str">
        <f aca="false">IF(OR(L135="",M135=""),"",L135*M135)</f>
        <v/>
      </c>
      <c r="O135" s="13" t="str">
        <f aca="false">IF(N135="","",IF(N135&gt;=Escalas!$A$24,"Crítico",IF(N135&gt;=Escalas!$A$23,"Alto",IF(N135&gt;=Escalas!$A$22,"Medio","Bajo"))))</f>
        <v/>
      </c>
      <c r="P135" s="9"/>
      <c r="Q135" s="9"/>
      <c r="R135" s="9"/>
      <c r="S135" s="12" t="str">
        <f aca="false">IF(OR(Q135="",R135=""),"",Q135*R135)</f>
        <v/>
      </c>
      <c r="T135" s="13" t="str">
        <f aca="false">IF(S135="","",IF(S135&gt;=Escalas!$A$24,"Crítico",IF(S135&gt;=Escalas!$A$23,"Alto",IF(S135&gt;=Escalas!$A$22,"Medio","Bajo"))))</f>
        <v/>
      </c>
      <c r="U135" s="13" t="str">
        <f aca="false">IF(S135="","",IF(S135&lt;=Escalas!$D$28,"Sí","No — requiere aprobación"))</f>
        <v/>
      </c>
      <c r="V135" s="9"/>
    </row>
    <row r="136" customFormat="false" ht="15" hidden="false" customHeight="false" outlineLevel="0" collapsed="false">
      <c r="A136" s="9"/>
      <c r="B136" s="9"/>
      <c r="C136" s="11" t="str">
        <f aca="false">IF(B136="","",IFERROR(INDEX('Inventario de activos'!$B$5:$B$204,MATCH(B136,'Inventario de activos'!$A$5:$A$204,0)),"ID no encontrado"))</f>
        <v/>
      </c>
      <c r="D136" s="9"/>
      <c r="E136" s="11" t="str">
        <f aca="false">IF(D136="","",IFERROR(INDEX('Catálogo de amenazas'!$B$5:$B$204,MATCH(D136,'Catálogo de amenazas'!$A$5:$A$204,0)),"ID no encontrado"))</f>
        <v/>
      </c>
      <c r="F136" s="9"/>
      <c r="G136" s="11" t="str">
        <f aca="false">IF(F136="","",IFERROR(INDEX('Catálogo de vulnerabilidades'!$B$5:$B$204,MATCH(F136,'Catálogo de vulnerabilidades'!$A$5:$A$204,0)),"ID no encontrado"))</f>
        <v/>
      </c>
      <c r="H136" s="8"/>
      <c r="I136" s="9"/>
      <c r="J136" s="8"/>
      <c r="K136" s="8"/>
      <c r="L136" s="9"/>
      <c r="M136" s="9"/>
      <c r="N136" s="12" t="str">
        <f aca="false">IF(OR(L136="",M136=""),"",L136*M136)</f>
        <v/>
      </c>
      <c r="O136" s="13" t="str">
        <f aca="false">IF(N136="","",IF(N136&gt;=Escalas!$A$24,"Crítico",IF(N136&gt;=Escalas!$A$23,"Alto",IF(N136&gt;=Escalas!$A$22,"Medio","Bajo"))))</f>
        <v/>
      </c>
      <c r="P136" s="9"/>
      <c r="Q136" s="9"/>
      <c r="R136" s="9"/>
      <c r="S136" s="12" t="str">
        <f aca="false">IF(OR(Q136="",R136=""),"",Q136*R136)</f>
        <v/>
      </c>
      <c r="T136" s="13" t="str">
        <f aca="false">IF(S136="","",IF(S136&gt;=Escalas!$A$24,"Crítico",IF(S136&gt;=Escalas!$A$23,"Alto",IF(S136&gt;=Escalas!$A$22,"Medio","Bajo"))))</f>
        <v/>
      </c>
      <c r="U136" s="13" t="str">
        <f aca="false">IF(S136="","",IF(S136&lt;=Escalas!$D$28,"Sí","No — requiere aprobación"))</f>
        <v/>
      </c>
      <c r="V136" s="9"/>
    </row>
    <row r="137" customFormat="false" ht="15" hidden="false" customHeight="false" outlineLevel="0" collapsed="false">
      <c r="A137" s="9"/>
      <c r="B137" s="9"/>
      <c r="C137" s="11" t="str">
        <f aca="false">IF(B137="","",IFERROR(INDEX('Inventario de activos'!$B$5:$B$204,MATCH(B137,'Inventario de activos'!$A$5:$A$204,0)),"ID no encontrado"))</f>
        <v/>
      </c>
      <c r="D137" s="9"/>
      <c r="E137" s="11" t="str">
        <f aca="false">IF(D137="","",IFERROR(INDEX('Catálogo de amenazas'!$B$5:$B$204,MATCH(D137,'Catálogo de amenazas'!$A$5:$A$204,0)),"ID no encontrado"))</f>
        <v/>
      </c>
      <c r="F137" s="9"/>
      <c r="G137" s="11" t="str">
        <f aca="false">IF(F137="","",IFERROR(INDEX('Catálogo de vulnerabilidades'!$B$5:$B$204,MATCH(F137,'Catálogo de vulnerabilidades'!$A$5:$A$204,0)),"ID no encontrado"))</f>
        <v/>
      </c>
      <c r="H137" s="8"/>
      <c r="I137" s="9"/>
      <c r="J137" s="8"/>
      <c r="K137" s="8"/>
      <c r="L137" s="9"/>
      <c r="M137" s="9"/>
      <c r="N137" s="12" t="str">
        <f aca="false">IF(OR(L137="",M137=""),"",L137*M137)</f>
        <v/>
      </c>
      <c r="O137" s="13" t="str">
        <f aca="false">IF(N137="","",IF(N137&gt;=Escalas!$A$24,"Crítico",IF(N137&gt;=Escalas!$A$23,"Alto",IF(N137&gt;=Escalas!$A$22,"Medio","Bajo"))))</f>
        <v/>
      </c>
      <c r="P137" s="9"/>
      <c r="Q137" s="9"/>
      <c r="R137" s="9"/>
      <c r="S137" s="12" t="str">
        <f aca="false">IF(OR(Q137="",R137=""),"",Q137*R137)</f>
        <v/>
      </c>
      <c r="T137" s="13" t="str">
        <f aca="false">IF(S137="","",IF(S137&gt;=Escalas!$A$24,"Crítico",IF(S137&gt;=Escalas!$A$23,"Alto",IF(S137&gt;=Escalas!$A$22,"Medio","Bajo"))))</f>
        <v/>
      </c>
      <c r="U137" s="13" t="str">
        <f aca="false">IF(S137="","",IF(S137&lt;=Escalas!$D$28,"Sí","No — requiere aprobación"))</f>
        <v/>
      </c>
      <c r="V137" s="9"/>
    </row>
    <row r="138" customFormat="false" ht="15" hidden="false" customHeight="false" outlineLevel="0" collapsed="false">
      <c r="A138" s="9"/>
      <c r="B138" s="9"/>
      <c r="C138" s="11" t="str">
        <f aca="false">IF(B138="","",IFERROR(INDEX('Inventario de activos'!$B$5:$B$204,MATCH(B138,'Inventario de activos'!$A$5:$A$204,0)),"ID no encontrado"))</f>
        <v/>
      </c>
      <c r="D138" s="9"/>
      <c r="E138" s="11" t="str">
        <f aca="false">IF(D138="","",IFERROR(INDEX('Catálogo de amenazas'!$B$5:$B$204,MATCH(D138,'Catálogo de amenazas'!$A$5:$A$204,0)),"ID no encontrado"))</f>
        <v/>
      </c>
      <c r="F138" s="9"/>
      <c r="G138" s="11" t="str">
        <f aca="false">IF(F138="","",IFERROR(INDEX('Catálogo de vulnerabilidades'!$B$5:$B$204,MATCH(F138,'Catálogo de vulnerabilidades'!$A$5:$A$204,0)),"ID no encontrado"))</f>
        <v/>
      </c>
      <c r="H138" s="8"/>
      <c r="I138" s="9"/>
      <c r="J138" s="8"/>
      <c r="K138" s="8"/>
      <c r="L138" s="9"/>
      <c r="M138" s="9"/>
      <c r="N138" s="12" t="str">
        <f aca="false">IF(OR(L138="",M138=""),"",L138*M138)</f>
        <v/>
      </c>
      <c r="O138" s="13" t="str">
        <f aca="false">IF(N138="","",IF(N138&gt;=Escalas!$A$24,"Crítico",IF(N138&gt;=Escalas!$A$23,"Alto",IF(N138&gt;=Escalas!$A$22,"Medio","Bajo"))))</f>
        <v/>
      </c>
      <c r="P138" s="9"/>
      <c r="Q138" s="9"/>
      <c r="R138" s="9"/>
      <c r="S138" s="12" t="str">
        <f aca="false">IF(OR(Q138="",R138=""),"",Q138*R138)</f>
        <v/>
      </c>
      <c r="T138" s="13" t="str">
        <f aca="false">IF(S138="","",IF(S138&gt;=Escalas!$A$24,"Crítico",IF(S138&gt;=Escalas!$A$23,"Alto",IF(S138&gt;=Escalas!$A$22,"Medio","Bajo"))))</f>
        <v/>
      </c>
      <c r="U138" s="13" t="str">
        <f aca="false">IF(S138="","",IF(S138&lt;=Escalas!$D$28,"Sí","No — requiere aprobación"))</f>
        <v/>
      </c>
      <c r="V138" s="9"/>
    </row>
    <row r="139" customFormat="false" ht="15" hidden="false" customHeight="false" outlineLevel="0" collapsed="false">
      <c r="A139" s="9"/>
      <c r="B139" s="9"/>
      <c r="C139" s="11" t="str">
        <f aca="false">IF(B139="","",IFERROR(INDEX('Inventario de activos'!$B$5:$B$204,MATCH(B139,'Inventario de activos'!$A$5:$A$204,0)),"ID no encontrado"))</f>
        <v/>
      </c>
      <c r="D139" s="9"/>
      <c r="E139" s="11" t="str">
        <f aca="false">IF(D139="","",IFERROR(INDEX('Catálogo de amenazas'!$B$5:$B$204,MATCH(D139,'Catálogo de amenazas'!$A$5:$A$204,0)),"ID no encontrado"))</f>
        <v/>
      </c>
      <c r="F139" s="9"/>
      <c r="G139" s="11" t="str">
        <f aca="false">IF(F139="","",IFERROR(INDEX('Catálogo de vulnerabilidades'!$B$5:$B$204,MATCH(F139,'Catálogo de vulnerabilidades'!$A$5:$A$204,0)),"ID no encontrado"))</f>
        <v/>
      </c>
      <c r="H139" s="8"/>
      <c r="I139" s="9"/>
      <c r="J139" s="8"/>
      <c r="K139" s="8"/>
      <c r="L139" s="9"/>
      <c r="M139" s="9"/>
      <c r="N139" s="12" t="str">
        <f aca="false">IF(OR(L139="",M139=""),"",L139*M139)</f>
        <v/>
      </c>
      <c r="O139" s="13" t="str">
        <f aca="false">IF(N139="","",IF(N139&gt;=Escalas!$A$24,"Crítico",IF(N139&gt;=Escalas!$A$23,"Alto",IF(N139&gt;=Escalas!$A$22,"Medio","Bajo"))))</f>
        <v/>
      </c>
      <c r="P139" s="9"/>
      <c r="Q139" s="9"/>
      <c r="R139" s="9"/>
      <c r="S139" s="12" t="str">
        <f aca="false">IF(OR(Q139="",R139=""),"",Q139*R139)</f>
        <v/>
      </c>
      <c r="T139" s="13" t="str">
        <f aca="false">IF(S139="","",IF(S139&gt;=Escalas!$A$24,"Crítico",IF(S139&gt;=Escalas!$A$23,"Alto",IF(S139&gt;=Escalas!$A$22,"Medio","Bajo"))))</f>
        <v/>
      </c>
      <c r="U139" s="13" t="str">
        <f aca="false">IF(S139="","",IF(S139&lt;=Escalas!$D$28,"Sí","No — requiere aprobación"))</f>
        <v/>
      </c>
      <c r="V139" s="9"/>
    </row>
    <row r="140" customFormat="false" ht="15" hidden="false" customHeight="false" outlineLevel="0" collapsed="false">
      <c r="A140" s="9"/>
      <c r="B140" s="9"/>
      <c r="C140" s="11" t="str">
        <f aca="false">IF(B140="","",IFERROR(INDEX('Inventario de activos'!$B$5:$B$204,MATCH(B140,'Inventario de activos'!$A$5:$A$204,0)),"ID no encontrado"))</f>
        <v/>
      </c>
      <c r="D140" s="9"/>
      <c r="E140" s="11" t="str">
        <f aca="false">IF(D140="","",IFERROR(INDEX('Catálogo de amenazas'!$B$5:$B$204,MATCH(D140,'Catálogo de amenazas'!$A$5:$A$204,0)),"ID no encontrado"))</f>
        <v/>
      </c>
      <c r="F140" s="9"/>
      <c r="G140" s="11" t="str">
        <f aca="false">IF(F140="","",IFERROR(INDEX('Catálogo de vulnerabilidades'!$B$5:$B$204,MATCH(F140,'Catálogo de vulnerabilidades'!$A$5:$A$204,0)),"ID no encontrado"))</f>
        <v/>
      </c>
      <c r="H140" s="8"/>
      <c r="I140" s="9"/>
      <c r="J140" s="8"/>
      <c r="K140" s="8"/>
      <c r="L140" s="9"/>
      <c r="M140" s="9"/>
      <c r="N140" s="12" t="str">
        <f aca="false">IF(OR(L140="",M140=""),"",L140*M140)</f>
        <v/>
      </c>
      <c r="O140" s="13" t="str">
        <f aca="false">IF(N140="","",IF(N140&gt;=Escalas!$A$24,"Crítico",IF(N140&gt;=Escalas!$A$23,"Alto",IF(N140&gt;=Escalas!$A$22,"Medio","Bajo"))))</f>
        <v/>
      </c>
      <c r="P140" s="9"/>
      <c r="Q140" s="9"/>
      <c r="R140" s="9"/>
      <c r="S140" s="12" t="str">
        <f aca="false">IF(OR(Q140="",R140=""),"",Q140*R140)</f>
        <v/>
      </c>
      <c r="T140" s="13" t="str">
        <f aca="false">IF(S140="","",IF(S140&gt;=Escalas!$A$24,"Crítico",IF(S140&gt;=Escalas!$A$23,"Alto",IF(S140&gt;=Escalas!$A$22,"Medio","Bajo"))))</f>
        <v/>
      </c>
      <c r="U140" s="13" t="str">
        <f aca="false">IF(S140="","",IF(S140&lt;=Escalas!$D$28,"Sí","No — requiere aprobación"))</f>
        <v/>
      </c>
      <c r="V140" s="9"/>
    </row>
    <row r="141" customFormat="false" ht="15" hidden="false" customHeight="false" outlineLevel="0" collapsed="false">
      <c r="A141" s="9"/>
      <c r="B141" s="9"/>
      <c r="C141" s="11" t="str">
        <f aca="false">IF(B141="","",IFERROR(INDEX('Inventario de activos'!$B$5:$B$204,MATCH(B141,'Inventario de activos'!$A$5:$A$204,0)),"ID no encontrado"))</f>
        <v/>
      </c>
      <c r="D141" s="9"/>
      <c r="E141" s="11" t="str">
        <f aca="false">IF(D141="","",IFERROR(INDEX('Catálogo de amenazas'!$B$5:$B$204,MATCH(D141,'Catálogo de amenazas'!$A$5:$A$204,0)),"ID no encontrado"))</f>
        <v/>
      </c>
      <c r="F141" s="9"/>
      <c r="G141" s="11" t="str">
        <f aca="false">IF(F141="","",IFERROR(INDEX('Catálogo de vulnerabilidades'!$B$5:$B$204,MATCH(F141,'Catálogo de vulnerabilidades'!$A$5:$A$204,0)),"ID no encontrado"))</f>
        <v/>
      </c>
      <c r="H141" s="8"/>
      <c r="I141" s="9"/>
      <c r="J141" s="8"/>
      <c r="K141" s="8"/>
      <c r="L141" s="9"/>
      <c r="M141" s="9"/>
      <c r="N141" s="12" t="str">
        <f aca="false">IF(OR(L141="",M141=""),"",L141*M141)</f>
        <v/>
      </c>
      <c r="O141" s="13" t="str">
        <f aca="false">IF(N141="","",IF(N141&gt;=Escalas!$A$24,"Crítico",IF(N141&gt;=Escalas!$A$23,"Alto",IF(N141&gt;=Escalas!$A$22,"Medio","Bajo"))))</f>
        <v/>
      </c>
      <c r="P141" s="9"/>
      <c r="Q141" s="9"/>
      <c r="R141" s="9"/>
      <c r="S141" s="12" t="str">
        <f aca="false">IF(OR(Q141="",R141=""),"",Q141*R141)</f>
        <v/>
      </c>
      <c r="T141" s="13" t="str">
        <f aca="false">IF(S141="","",IF(S141&gt;=Escalas!$A$24,"Crítico",IF(S141&gt;=Escalas!$A$23,"Alto",IF(S141&gt;=Escalas!$A$22,"Medio","Bajo"))))</f>
        <v/>
      </c>
      <c r="U141" s="13" t="str">
        <f aca="false">IF(S141="","",IF(S141&lt;=Escalas!$D$28,"Sí","No — requiere aprobación"))</f>
        <v/>
      </c>
      <c r="V141" s="9"/>
    </row>
    <row r="142" customFormat="false" ht="15" hidden="false" customHeight="false" outlineLevel="0" collapsed="false">
      <c r="A142" s="9"/>
      <c r="B142" s="9"/>
      <c r="C142" s="11" t="str">
        <f aca="false">IF(B142="","",IFERROR(INDEX('Inventario de activos'!$B$5:$B$204,MATCH(B142,'Inventario de activos'!$A$5:$A$204,0)),"ID no encontrado"))</f>
        <v/>
      </c>
      <c r="D142" s="9"/>
      <c r="E142" s="11" t="str">
        <f aca="false">IF(D142="","",IFERROR(INDEX('Catálogo de amenazas'!$B$5:$B$204,MATCH(D142,'Catálogo de amenazas'!$A$5:$A$204,0)),"ID no encontrado"))</f>
        <v/>
      </c>
      <c r="F142" s="9"/>
      <c r="G142" s="11" t="str">
        <f aca="false">IF(F142="","",IFERROR(INDEX('Catálogo de vulnerabilidades'!$B$5:$B$204,MATCH(F142,'Catálogo de vulnerabilidades'!$A$5:$A$204,0)),"ID no encontrado"))</f>
        <v/>
      </c>
      <c r="H142" s="8"/>
      <c r="I142" s="9"/>
      <c r="J142" s="8"/>
      <c r="K142" s="8"/>
      <c r="L142" s="9"/>
      <c r="M142" s="9"/>
      <c r="N142" s="12" t="str">
        <f aca="false">IF(OR(L142="",M142=""),"",L142*M142)</f>
        <v/>
      </c>
      <c r="O142" s="13" t="str">
        <f aca="false">IF(N142="","",IF(N142&gt;=Escalas!$A$24,"Crítico",IF(N142&gt;=Escalas!$A$23,"Alto",IF(N142&gt;=Escalas!$A$22,"Medio","Bajo"))))</f>
        <v/>
      </c>
      <c r="P142" s="9"/>
      <c r="Q142" s="9"/>
      <c r="R142" s="9"/>
      <c r="S142" s="12" t="str">
        <f aca="false">IF(OR(Q142="",R142=""),"",Q142*R142)</f>
        <v/>
      </c>
      <c r="T142" s="13" t="str">
        <f aca="false">IF(S142="","",IF(S142&gt;=Escalas!$A$24,"Crítico",IF(S142&gt;=Escalas!$A$23,"Alto",IF(S142&gt;=Escalas!$A$22,"Medio","Bajo"))))</f>
        <v/>
      </c>
      <c r="U142" s="13" t="str">
        <f aca="false">IF(S142="","",IF(S142&lt;=Escalas!$D$28,"Sí","No — requiere aprobación"))</f>
        <v/>
      </c>
      <c r="V142" s="9"/>
    </row>
    <row r="143" customFormat="false" ht="15" hidden="false" customHeight="false" outlineLevel="0" collapsed="false">
      <c r="A143" s="9"/>
      <c r="B143" s="9"/>
      <c r="C143" s="11" t="str">
        <f aca="false">IF(B143="","",IFERROR(INDEX('Inventario de activos'!$B$5:$B$204,MATCH(B143,'Inventario de activos'!$A$5:$A$204,0)),"ID no encontrado"))</f>
        <v/>
      </c>
      <c r="D143" s="9"/>
      <c r="E143" s="11" t="str">
        <f aca="false">IF(D143="","",IFERROR(INDEX('Catálogo de amenazas'!$B$5:$B$204,MATCH(D143,'Catálogo de amenazas'!$A$5:$A$204,0)),"ID no encontrado"))</f>
        <v/>
      </c>
      <c r="F143" s="9"/>
      <c r="G143" s="11" t="str">
        <f aca="false">IF(F143="","",IFERROR(INDEX('Catálogo de vulnerabilidades'!$B$5:$B$204,MATCH(F143,'Catálogo de vulnerabilidades'!$A$5:$A$204,0)),"ID no encontrado"))</f>
        <v/>
      </c>
      <c r="H143" s="8"/>
      <c r="I143" s="9"/>
      <c r="J143" s="8"/>
      <c r="K143" s="8"/>
      <c r="L143" s="9"/>
      <c r="M143" s="9"/>
      <c r="N143" s="12" t="str">
        <f aca="false">IF(OR(L143="",M143=""),"",L143*M143)</f>
        <v/>
      </c>
      <c r="O143" s="13" t="str">
        <f aca="false">IF(N143="","",IF(N143&gt;=Escalas!$A$24,"Crítico",IF(N143&gt;=Escalas!$A$23,"Alto",IF(N143&gt;=Escalas!$A$22,"Medio","Bajo"))))</f>
        <v/>
      </c>
      <c r="P143" s="9"/>
      <c r="Q143" s="9"/>
      <c r="R143" s="9"/>
      <c r="S143" s="12" t="str">
        <f aca="false">IF(OR(Q143="",R143=""),"",Q143*R143)</f>
        <v/>
      </c>
      <c r="T143" s="13" t="str">
        <f aca="false">IF(S143="","",IF(S143&gt;=Escalas!$A$24,"Crítico",IF(S143&gt;=Escalas!$A$23,"Alto",IF(S143&gt;=Escalas!$A$22,"Medio","Bajo"))))</f>
        <v/>
      </c>
      <c r="U143" s="13" t="str">
        <f aca="false">IF(S143="","",IF(S143&lt;=Escalas!$D$28,"Sí","No — requiere aprobación"))</f>
        <v/>
      </c>
      <c r="V143" s="9"/>
    </row>
    <row r="144" customFormat="false" ht="15" hidden="false" customHeight="false" outlineLevel="0" collapsed="false">
      <c r="A144" s="9"/>
      <c r="B144" s="9"/>
      <c r="C144" s="11" t="str">
        <f aca="false">IF(B144="","",IFERROR(INDEX('Inventario de activos'!$B$5:$B$204,MATCH(B144,'Inventario de activos'!$A$5:$A$204,0)),"ID no encontrado"))</f>
        <v/>
      </c>
      <c r="D144" s="9"/>
      <c r="E144" s="11" t="str">
        <f aca="false">IF(D144="","",IFERROR(INDEX('Catálogo de amenazas'!$B$5:$B$204,MATCH(D144,'Catálogo de amenazas'!$A$5:$A$204,0)),"ID no encontrado"))</f>
        <v/>
      </c>
      <c r="F144" s="9"/>
      <c r="G144" s="11" t="str">
        <f aca="false">IF(F144="","",IFERROR(INDEX('Catálogo de vulnerabilidades'!$B$5:$B$204,MATCH(F144,'Catálogo de vulnerabilidades'!$A$5:$A$204,0)),"ID no encontrado"))</f>
        <v/>
      </c>
      <c r="H144" s="8"/>
      <c r="I144" s="9"/>
      <c r="J144" s="8"/>
      <c r="K144" s="8"/>
      <c r="L144" s="9"/>
      <c r="M144" s="9"/>
      <c r="N144" s="12" t="str">
        <f aca="false">IF(OR(L144="",M144=""),"",L144*M144)</f>
        <v/>
      </c>
      <c r="O144" s="13" t="str">
        <f aca="false">IF(N144="","",IF(N144&gt;=Escalas!$A$24,"Crítico",IF(N144&gt;=Escalas!$A$23,"Alto",IF(N144&gt;=Escalas!$A$22,"Medio","Bajo"))))</f>
        <v/>
      </c>
      <c r="P144" s="9"/>
      <c r="Q144" s="9"/>
      <c r="R144" s="9"/>
      <c r="S144" s="12" t="str">
        <f aca="false">IF(OR(Q144="",R144=""),"",Q144*R144)</f>
        <v/>
      </c>
      <c r="T144" s="13" t="str">
        <f aca="false">IF(S144="","",IF(S144&gt;=Escalas!$A$24,"Crítico",IF(S144&gt;=Escalas!$A$23,"Alto",IF(S144&gt;=Escalas!$A$22,"Medio","Bajo"))))</f>
        <v/>
      </c>
      <c r="U144" s="13" t="str">
        <f aca="false">IF(S144="","",IF(S144&lt;=Escalas!$D$28,"Sí","No — requiere aprobación"))</f>
        <v/>
      </c>
      <c r="V144" s="9"/>
    </row>
    <row r="145" customFormat="false" ht="15" hidden="false" customHeight="false" outlineLevel="0" collapsed="false">
      <c r="A145" s="9"/>
      <c r="B145" s="9"/>
      <c r="C145" s="11" t="str">
        <f aca="false">IF(B145="","",IFERROR(INDEX('Inventario de activos'!$B$5:$B$204,MATCH(B145,'Inventario de activos'!$A$5:$A$204,0)),"ID no encontrado"))</f>
        <v/>
      </c>
      <c r="D145" s="9"/>
      <c r="E145" s="11" t="str">
        <f aca="false">IF(D145="","",IFERROR(INDEX('Catálogo de amenazas'!$B$5:$B$204,MATCH(D145,'Catálogo de amenazas'!$A$5:$A$204,0)),"ID no encontrado"))</f>
        <v/>
      </c>
      <c r="F145" s="9"/>
      <c r="G145" s="11" t="str">
        <f aca="false">IF(F145="","",IFERROR(INDEX('Catálogo de vulnerabilidades'!$B$5:$B$204,MATCH(F145,'Catálogo de vulnerabilidades'!$A$5:$A$204,0)),"ID no encontrado"))</f>
        <v/>
      </c>
      <c r="H145" s="8"/>
      <c r="I145" s="9"/>
      <c r="J145" s="8"/>
      <c r="K145" s="8"/>
      <c r="L145" s="9"/>
      <c r="M145" s="9"/>
      <c r="N145" s="12" t="str">
        <f aca="false">IF(OR(L145="",M145=""),"",L145*M145)</f>
        <v/>
      </c>
      <c r="O145" s="13" t="str">
        <f aca="false">IF(N145="","",IF(N145&gt;=Escalas!$A$24,"Crítico",IF(N145&gt;=Escalas!$A$23,"Alto",IF(N145&gt;=Escalas!$A$22,"Medio","Bajo"))))</f>
        <v/>
      </c>
      <c r="P145" s="9"/>
      <c r="Q145" s="9"/>
      <c r="R145" s="9"/>
      <c r="S145" s="12" t="str">
        <f aca="false">IF(OR(Q145="",R145=""),"",Q145*R145)</f>
        <v/>
      </c>
      <c r="T145" s="13" t="str">
        <f aca="false">IF(S145="","",IF(S145&gt;=Escalas!$A$24,"Crítico",IF(S145&gt;=Escalas!$A$23,"Alto",IF(S145&gt;=Escalas!$A$22,"Medio","Bajo"))))</f>
        <v/>
      </c>
      <c r="U145" s="13" t="str">
        <f aca="false">IF(S145="","",IF(S145&lt;=Escalas!$D$28,"Sí","No — requiere aprobación"))</f>
        <v/>
      </c>
      <c r="V145" s="9"/>
    </row>
    <row r="146" customFormat="false" ht="15" hidden="false" customHeight="false" outlineLevel="0" collapsed="false">
      <c r="A146" s="9"/>
      <c r="B146" s="9"/>
      <c r="C146" s="11" t="str">
        <f aca="false">IF(B146="","",IFERROR(INDEX('Inventario de activos'!$B$5:$B$204,MATCH(B146,'Inventario de activos'!$A$5:$A$204,0)),"ID no encontrado"))</f>
        <v/>
      </c>
      <c r="D146" s="9"/>
      <c r="E146" s="11" t="str">
        <f aca="false">IF(D146="","",IFERROR(INDEX('Catálogo de amenazas'!$B$5:$B$204,MATCH(D146,'Catálogo de amenazas'!$A$5:$A$204,0)),"ID no encontrado"))</f>
        <v/>
      </c>
      <c r="F146" s="9"/>
      <c r="G146" s="11" t="str">
        <f aca="false">IF(F146="","",IFERROR(INDEX('Catálogo de vulnerabilidades'!$B$5:$B$204,MATCH(F146,'Catálogo de vulnerabilidades'!$A$5:$A$204,0)),"ID no encontrado"))</f>
        <v/>
      </c>
      <c r="H146" s="8"/>
      <c r="I146" s="9"/>
      <c r="J146" s="8"/>
      <c r="K146" s="8"/>
      <c r="L146" s="9"/>
      <c r="M146" s="9"/>
      <c r="N146" s="12" t="str">
        <f aca="false">IF(OR(L146="",M146=""),"",L146*M146)</f>
        <v/>
      </c>
      <c r="O146" s="13" t="str">
        <f aca="false">IF(N146="","",IF(N146&gt;=Escalas!$A$24,"Crítico",IF(N146&gt;=Escalas!$A$23,"Alto",IF(N146&gt;=Escalas!$A$22,"Medio","Bajo"))))</f>
        <v/>
      </c>
      <c r="P146" s="9"/>
      <c r="Q146" s="9"/>
      <c r="R146" s="9"/>
      <c r="S146" s="12" t="str">
        <f aca="false">IF(OR(Q146="",R146=""),"",Q146*R146)</f>
        <v/>
      </c>
      <c r="T146" s="13" t="str">
        <f aca="false">IF(S146="","",IF(S146&gt;=Escalas!$A$24,"Crítico",IF(S146&gt;=Escalas!$A$23,"Alto",IF(S146&gt;=Escalas!$A$22,"Medio","Bajo"))))</f>
        <v/>
      </c>
      <c r="U146" s="13" t="str">
        <f aca="false">IF(S146="","",IF(S146&lt;=Escalas!$D$28,"Sí","No — requiere aprobación"))</f>
        <v/>
      </c>
      <c r="V146" s="9"/>
    </row>
    <row r="147" customFormat="false" ht="15" hidden="false" customHeight="false" outlineLevel="0" collapsed="false">
      <c r="A147" s="9"/>
      <c r="B147" s="9"/>
      <c r="C147" s="11" t="str">
        <f aca="false">IF(B147="","",IFERROR(INDEX('Inventario de activos'!$B$5:$B$204,MATCH(B147,'Inventario de activos'!$A$5:$A$204,0)),"ID no encontrado"))</f>
        <v/>
      </c>
      <c r="D147" s="9"/>
      <c r="E147" s="11" t="str">
        <f aca="false">IF(D147="","",IFERROR(INDEX('Catálogo de amenazas'!$B$5:$B$204,MATCH(D147,'Catálogo de amenazas'!$A$5:$A$204,0)),"ID no encontrado"))</f>
        <v/>
      </c>
      <c r="F147" s="9"/>
      <c r="G147" s="11" t="str">
        <f aca="false">IF(F147="","",IFERROR(INDEX('Catálogo de vulnerabilidades'!$B$5:$B$204,MATCH(F147,'Catálogo de vulnerabilidades'!$A$5:$A$204,0)),"ID no encontrado"))</f>
        <v/>
      </c>
      <c r="H147" s="8"/>
      <c r="I147" s="9"/>
      <c r="J147" s="8"/>
      <c r="K147" s="8"/>
      <c r="L147" s="9"/>
      <c r="M147" s="9"/>
      <c r="N147" s="12" t="str">
        <f aca="false">IF(OR(L147="",M147=""),"",L147*M147)</f>
        <v/>
      </c>
      <c r="O147" s="13" t="str">
        <f aca="false">IF(N147="","",IF(N147&gt;=Escalas!$A$24,"Crítico",IF(N147&gt;=Escalas!$A$23,"Alto",IF(N147&gt;=Escalas!$A$22,"Medio","Bajo"))))</f>
        <v/>
      </c>
      <c r="P147" s="9"/>
      <c r="Q147" s="9"/>
      <c r="R147" s="9"/>
      <c r="S147" s="12" t="str">
        <f aca="false">IF(OR(Q147="",R147=""),"",Q147*R147)</f>
        <v/>
      </c>
      <c r="T147" s="13" t="str">
        <f aca="false">IF(S147="","",IF(S147&gt;=Escalas!$A$24,"Crítico",IF(S147&gt;=Escalas!$A$23,"Alto",IF(S147&gt;=Escalas!$A$22,"Medio","Bajo"))))</f>
        <v/>
      </c>
      <c r="U147" s="13" t="str">
        <f aca="false">IF(S147="","",IF(S147&lt;=Escalas!$D$28,"Sí","No — requiere aprobación"))</f>
        <v/>
      </c>
      <c r="V147" s="9"/>
    </row>
    <row r="148" customFormat="false" ht="15" hidden="false" customHeight="false" outlineLevel="0" collapsed="false">
      <c r="A148" s="9"/>
      <c r="B148" s="9"/>
      <c r="C148" s="11" t="str">
        <f aca="false">IF(B148="","",IFERROR(INDEX('Inventario de activos'!$B$5:$B$204,MATCH(B148,'Inventario de activos'!$A$5:$A$204,0)),"ID no encontrado"))</f>
        <v/>
      </c>
      <c r="D148" s="9"/>
      <c r="E148" s="11" t="str">
        <f aca="false">IF(D148="","",IFERROR(INDEX('Catálogo de amenazas'!$B$5:$B$204,MATCH(D148,'Catálogo de amenazas'!$A$5:$A$204,0)),"ID no encontrado"))</f>
        <v/>
      </c>
      <c r="F148" s="9"/>
      <c r="G148" s="11" t="str">
        <f aca="false">IF(F148="","",IFERROR(INDEX('Catálogo de vulnerabilidades'!$B$5:$B$204,MATCH(F148,'Catálogo de vulnerabilidades'!$A$5:$A$204,0)),"ID no encontrado"))</f>
        <v/>
      </c>
      <c r="H148" s="8"/>
      <c r="I148" s="9"/>
      <c r="J148" s="8"/>
      <c r="K148" s="8"/>
      <c r="L148" s="9"/>
      <c r="M148" s="9"/>
      <c r="N148" s="12" t="str">
        <f aca="false">IF(OR(L148="",M148=""),"",L148*M148)</f>
        <v/>
      </c>
      <c r="O148" s="13" t="str">
        <f aca="false">IF(N148="","",IF(N148&gt;=Escalas!$A$24,"Crítico",IF(N148&gt;=Escalas!$A$23,"Alto",IF(N148&gt;=Escalas!$A$22,"Medio","Bajo"))))</f>
        <v/>
      </c>
      <c r="P148" s="9"/>
      <c r="Q148" s="9"/>
      <c r="R148" s="9"/>
      <c r="S148" s="12" t="str">
        <f aca="false">IF(OR(Q148="",R148=""),"",Q148*R148)</f>
        <v/>
      </c>
      <c r="T148" s="13" t="str">
        <f aca="false">IF(S148="","",IF(S148&gt;=Escalas!$A$24,"Crítico",IF(S148&gt;=Escalas!$A$23,"Alto",IF(S148&gt;=Escalas!$A$22,"Medio","Bajo"))))</f>
        <v/>
      </c>
      <c r="U148" s="13" t="str">
        <f aca="false">IF(S148="","",IF(S148&lt;=Escalas!$D$28,"Sí","No — requiere aprobación"))</f>
        <v/>
      </c>
      <c r="V148" s="9"/>
    </row>
    <row r="149" customFormat="false" ht="15" hidden="false" customHeight="false" outlineLevel="0" collapsed="false">
      <c r="A149" s="9"/>
      <c r="B149" s="9"/>
      <c r="C149" s="11" t="str">
        <f aca="false">IF(B149="","",IFERROR(INDEX('Inventario de activos'!$B$5:$B$204,MATCH(B149,'Inventario de activos'!$A$5:$A$204,0)),"ID no encontrado"))</f>
        <v/>
      </c>
      <c r="D149" s="9"/>
      <c r="E149" s="11" t="str">
        <f aca="false">IF(D149="","",IFERROR(INDEX('Catálogo de amenazas'!$B$5:$B$204,MATCH(D149,'Catálogo de amenazas'!$A$5:$A$204,0)),"ID no encontrado"))</f>
        <v/>
      </c>
      <c r="F149" s="9"/>
      <c r="G149" s="11" t="str">
        <f aca="false">IF(F149="","",IFERROR(INDEX('Catálogo de vulnerabilidades'!$B$5:$B$204,MATCH(F149,'Catálogo de vulnerabilidades'!$A$5:$A$204,0)),"ID no encontrado"))</f>
        <v/>
      </c>
      <c r="H149" s="8"/>
      <c r="I149" s="9"/>
      <c r="J149" s="8"/>
      <c r="K149" s="8"/>
      <c r="L149" s="9"/>
      <c r="M149" s="9"/>
      <c r="N149" s="12" t="str">
        <f aca="false">IF(OR(L149="",M149=""),"",L149*M149)</f>
        <v/>
      </c>
      <c r="O149" s="13" t="str">
        <f aca="false">IF(N149="","",IF(N149&gt;=Escalas!$A$24,"Crítico",IF(N149&gt;=Escalas!$A$23,"Alto",IF(N149&gt;=Escalas!$A$22,"Medio","Bajo"))))</f>
        <v/>
      </c>
      <c r="P149" s="9"/>
      <c r="Q149" s="9"/>
      <c r="R149" s="9"/>
      <c r="S149" s="12" t="str">
        <f aca="false">IF(OR(Q149="",R149=""),"",Q149*R149)</f>
        <v/>
      </c>
      <c r="T149" s="13" t="str">
        <f aca="false">IF(S149="","",IF(S149&gt;=Escalas!$A$24,"Crítico",IF(S149&gt;=Escalas!$A$23,"Alto",IF(S149&gt;=Escalas!$A$22,"Medio","Bajo"))))</f>
        <v/>
      </c>
      <c r="U149" s="13" t="str">
        <f aca="false">IF(S149="","",IF(S149&lt;=Escalas!$D$28,"Sí","No — requiere aprobación"))</f>
        <v/>
      </c>
      <c r="V149" s="9"/>
    </row>
    <row r="150" customFormat="false" ht="15" hidden="false" customHeight="false" outlineLevel="0" collapsed="false">
      <c r="A150" s="9"/>
      <c r="B150" s="9"/>
      <c r="C150" s="11" t="str">
        <f aca="false">IF(B150="","",IFERROR(INDEX('Inventario de activos'!$B$5:$B$204,MATCH(B150,'Inventario de activos'!$A$5:$A$204,0)),"ID no encontrado"))</f>
        <v/>
      </c>
      <c r="D150" s="9"/>
      <c r="E150" s="11" t="str">
        <f aca="false">IF(D150="","",IFERROR(INDEX('Catálogo de amenazas'!$B$5:$B$204,MATCH(D150,'Catálogo de amenazas'!$A$5:$A$204,0)),"ID no encontrado"))</f>
        <v/>
      </c>
      <c r="F150" s="9"/>
      <c r="G150" s="11" t="str">
        <f aca="false">IF(F150="","",IFERROR(INDEX('Catálogo de vulnerabilidades'!$B$5:$B$204,MATCH(F150,'Catálogo de vulnerabilidades'!$A$5:$A$204,0)),"ID no encontrado"))</f>
        <v/>
      </c>
      <c r="H150" s="8"/>
      <c r="I150" s="9"/>
      <c r="J150" s="8"/>
      <c r="K150" s="8"/>
      <c r="L150" s="9"/>
      <c r="M150" s="9"/>
      <c r="N150" s="12" t="str">
        <f aca="false">IF(OR(L150="",M150=""),"",L150*M150)</f>
        <v/>
      </c>
      <c r="O150" s="13" t="str">
        <f aca="false">IF(N150="","",IF(N150&gt;=Escalas!$A$24,"Crítico",IF(N150&gt;=Escalas!$A$23,"Alto",IF(N150&gt;=Escalas!$A$22,"Medio","Bajo"))))</f>
        <v/>
      </c>
      <c r="P150" s="9"/>
      <c r="Q150" s="9"/>
      <c r="R150" s="9"/>
      <c r="S150" s="12" t="str">
        <f aca="false">IF(OR(Q150="",R150=""),"",Q150*R150)</f>
        <v/>
      </c>
      <c r="T150" s="13" t="str">
        <f aca="false">IF(S150="","",IF(S150&gt;=Escalas!$A$24,"Crítico",IF(S150&gt;=Escalas!$A$23,"Alto",IF(S150&gt;=Escalas!$A$22,"Medio","Bajo"))))</f>
        <v/>
      </c>
      <c r="U150" s="13" t="str">
        <f aca="false">IF(S150="","",IF(S150&lt;=Escalas!$D$28,"Sí","No — requiere aprobación"))</f>
        <v/>
      </c>
      <c r="V150" s="9"/>
    </row>
    <row r="151" customFormat="false" ht="15" hidden="false" customHeight="false" outlineLevel="0" collapsed="false">
      <c r="A151" s="9"/>
      <c r="B151" s="9"/>
      <c r="C151" s="11" t="str">
        <f aca="false">IF(B151="","",IFERROR(INDEX('Inventario de activos'!$B$5:$B$204,MATCH(B151,'Inventario de activos'!$A$5:$A$204,0)),"ID no encontrado"))</f>
        <v/>
      </c>
      <c r="D151" s="9"/>
      <c r="E151" s="11" t="str">
        <f aca="false">IF(D151="","",IFERROR(INDEX('Catálogo de amenazas'!$B$5:$B$204,MATCH(D151,'Catálogo de amenazas'!$A$5:$A$204,0)),"ID no encontrado"))</f>
        <v/>
      </c>
      <c r="F151" s="9"/>
      <c r="G151" s="11" t="str">
        <f aca="false">IF(F151="","",IFERROR(INDEX('Catálogo de vulnerabilidades'!$B$5:$B$204,MATCH(F151,'Catálogo de vulnerabilidades'!$A$5:$A$204,0)),"ID no encontrado"))</f>
        <v/>
      </c>
      <c r="H151" s="8"/>
      <c r="I151" s="9"/>
      <c r="J151" s="8"/>
      <c r="K151" s="8"/>
      <c r="L151" s="9"/>
      <c r="M151" s="9"/>
      <c r="N151" s="12" t="str">
        <f aca="false">IF(OR(L151="",M151=""),"",L151*M151)</f>
        <v/>
      </c>
      <c r="O151" s="13" t="str">
        <f aca="false">IF(N151="","",IF(N151&gt;=Escalas!$A$24,"Crítico",IF(N151&gt;=Escalas!$A$23,"Alto",IF(N151&gt;=Escalas!$A$22,"Medio","Bajo"))))</f>
        <v/>
      </c>
      <c r="P151" s="9"/>
      <c r="Q151" s="9"/>
      <c r="R151" s="9"/>
      <c r="S151" s="12" t="str">
        <f aca="false">IF(OR(Q151="",R151=""),"",Q151*R151)</f>
        <v/>
      </c>
      <c r="T151" s="13" t="str">
        <f aca="false">IF(S151="","",IF(S151&gt;=Escalas!$A$24,"Crítico",IF(S151&gt;=Escalas!$A$23,"Alto",IF(S151&gt;=Escalas!$A$22,"Medio","Bajo"))))</f>
        <v/>
      </c>
      <c r="U151" s="13" t="str">
        <f aca="false">IF(S151="","",IF(S151&lt;=Escalas!$D$28,"Sí","No — requiere aprobación"))</f>
        <v/>
      </c>
      <c r="V151" s="9"/>
    </row>
    <row r="152" customFormat="false" ht="15" hidden="false" customHeight="false" outlineLevel="0" collapsed="false">
      <c r="A152" s="9"/>
      <c r="B152" s="9"/>
      <c r="C152" s="11" t="str">
        <f aca="false">IF(B152="","",IFERROR(INDEX('Inventario de activos'!$B$5:$B$204,MATCH(B152,'Inventario de activos'!$A$5:$A$204,0)),"ID no encontrado"))</f>
        <v/>
      </c>
      <c r="D152" s="9"/>
      <c r="E152" s="11" t="str">
        <f aca="false">IF(D152="","",IFERROR(INDEX('Catálogo de amenazas'!$B$5:$B$204,MATCH(D152,'Catálogo de amenazas'!$A$5:$A$204,0)),"ID no encontrado"))</f>
        <v/>
      </c>
      <c r="F152" s="9"/>
      <c r="G152" s="11" t="str">
        <f aca="false">IF(F152="","",IFERROR(INDEX('Catálogo de vulnerabilidades'!$B$5:$B$204,MATCH(F152,'Catálogo de vulnerabilidades'!$A$5:$A$204,0)),"ID no encontrado"))</f>
        <v/>
      </c>
      <c r="H152" s="8"/>
      <c r="I152" s="9"/>
      <c r="J152" s="8"/>
      <c r="K152" s="8"/>
      <c r="L152" s="9"/>
      <c r="M152" s="9"/>
      <c r="N152" s="12" t="str">
        <f aca="false">IF(OR(L152="",M152=""),"",L152*M152)</f>
        <v/>
      </c>
      <c r="O152" s="13" t="str">
        <f aca="false">IF(N152="","",IF(N152&gt;=Escalas!$A$24,"Crítico",IF(N152&gt;=Escalas!$A$23,"Alto",IF(N152&gt;=Escalas!$A$22,"Medio","Bajo"))))</f>
        <v/>
      </c>
      <c r="P152" s="9"/>
      <c r="Q152" s="9"/>
      <c r="R152" s="9"/>
      <c r="S152" s="12" t="str">
        <f aca="false">IF(OR(Q152="",R152=""),"",Q152*R152)</f>
        <v/>
      </c>
      <c r="T152" s="13" t="str">
        <f aca="false">IF(S152="","",IF(S152&gt;=Escalas!$A$24,"Crítico",IF(S152&gt;=Escalas!$A$23,"Alto",IF(S152&gt;=Escalas!$A$22,"Medio","Bajo"))))</f>
        <v/>
      </c>
      <c r="U152" s="13" t="str">
        <f aca="false">IF(S152="","",IF(S152&lt;=Escalas!$D$28,"Sí","No — requiere aprobación"))</f>
        <v/>
      </c>
      <c r="V152" s="9"/>
    </row>
    <row r="153" customFormat="false" ht="15" hidden="false" customHeight="false" outlineLevel="0" collapsed="false">
      <c r="A153" s="9"/>
      <c r="B153" s="9"/>
      <c r="C153" s="11" t="str">
        <f aca="false">IF(B153="","",IFERROR(INDEX('Inventario de activos'!$B$5:$B$204,MATCH(B153,'Inventario de activos'!$A$5:$A$204,0)),"ID no encontrado"))</f>
        <v/>
      </c>
      <c r="D153" s="9"/>
      <c r="E153" s="11" t="str">
        <f aca="false">IF(D153="","",IFERROR(INDEX('Catálogo de amenazas'!$B$5:$B$204,MATCH(D153,'Catálogo de amenazas'!$A$5:$A$204,0)),"ID no encontrado"))</f>
        <v/>
      </c>
      <c r="F153" s="9"/>
      <c r="G153" s="11" t="str">
        <f aca="false">IF(F153="","",IFERROR(INDEX('Catálogo de vulnerabilidades'!$B$5:$B$204,MATCH(F153,'Catálogo de vulnerabilidades'!$A$5:$A$204,0)),"ID no encontrado"))</f>
        <v/>
      </c>
      <c r="H153" s="8"/>
      <c r="I153" s="9"/>
      <c r="J153" s="8"/>
      <c r="K153" s="8"/>
      <c r="L153" s="9"/>
      <c r="M153" s="9"/>
      <c r="N153" s="12" t="str">
        <f aca="false">IF(OR(L153="",M153=""),"",L153*M153)</f>
        <v/>
      </c>
      <c r="O153" s="13" t="str">
        <f aca="false">IF(N153="","",IF(N153&gt;=Escalas!$A$24,"Crítico",IF(N153&gt;=Escalas!$A$23,"Alto",IF(N153&gt;=Escalas!$A$22,"Medio","Bajo"))))</f>
        <v/>
      </c>
      <c r="P153" s="9"/>
      <c r="Q153" s="9"/>
      <c r="R153" s="9"/>
      <c r="S153" s="12" t="str">
        <f aca="false">IF(OR(Q153="",R153=""),"",Q153*R153)</f>
        <v/>
      </c>
      <c r="T153" s="13" t="str">
        <f aca="false">IF(S153="","",IF(S153&gt;=Escalas!$A$24,"Crítico",IF(S153&gt;=Escalas!$A$23,"Alto",IF(S153&gt;=Escalas!$A$22,"Medio","Bajo"))))</f>
        <v/>
      </c>
      <c r="U153" s="13" t="str">
        <f aca="false">IF(S153="","",IF(S153&lt;=Escalas!$D$28,"Sí","No — requiere aprobación"))</f>
        <v/>
      </c>
      <c r="V153" s="9"/>
    </row>
    <row r="154" customFormat="false" ht="15" hidden="false" customHeight="false" outlineLevel="0" collapsed="false">
      <c r="A154" s="9"/>
      <c r="B154" s="9"/>
      <c r="C154" s="11" t="str">
        <f aca="false">IF(B154="","",IFERROR(INDEX('Inventario de activos'!$B$5:$B$204,MATCH(B154,'Inventario de activos'!$A$5:$A$204,0)),"ID no encontrado"))</f>
        <v/>
      </c>
      <c r="D154" s="9"/>
      <c r="E154" s="11" t="str">
        <f aca="false">IF(D154="","",IFERROR(INDEX('Catálogo de amenazas'!$B$5:$B$204,MATCH(D154,'Catálogo de amenazas'!$A$5:$A$204,0)),"ID no encontrado"))</f>
        <v/>
      </c>
      <c r="F154" s="9"/>
      <c r="G154" s="11" t="str">
        <f aca="false">IF(F154="","",IFERROR(INDEX('Catálogo de vulnerabilidades'!$B$5:$B$204,MATCH(F154,'Catálogo de vulnerabilidades'!$A$5:$A$204,0)),"ID no encontrado"))</f>
        <v/>
      </c>
      <c r="H154" s="8"/>
      <c r="I154" s="9"/>
      <c r="J154" s="8"/>
      <c r="K154" s="8"/>
      <c r="L154" s="9"/>
      <c r="M154" s="9"/>
      <c r="N154" s="12" t="str">
        <f aca="false">IF(OR(L154="",M154=""),"",L154*M154)</f>
        <v/>
      </c>
      <c r="O154" s="13" t="str">
        <f aca="false">IF(N154="","",IF(N154&gt;=Escalas!$A$24,"Crítico",IF(N154&gt;=Escalas!$A$23,"Alto",IF(N154&gt;=Escalas!$A$22,"Medio","Bajo"))))</f>
        <v/>
      </c>
      <c r="P154" s="9"/>
      <c r="Q154" s="9"/>
      <c r="R154" s="9"/>
      <c r="S154" s="12" t="str">
        <f aca="false">IF(OR(Q154="",R154=""),"",Q154*R154)</f>
        <v/>
      </c>
      <c r="T154" s="13" t="str">
        <f aca="false">IF(S154="","",IF(S154&gt;=Escalas!$A$24,"Crítico",IF(S154&gt;=Escalas!$A$23,"Alto",IF(S154&gt;=Escalas!$A$22,"Medio","Bajo"))))</f>
        <v/>
      </c>
      <c r="U154" s="13" t="str">
        <f aca="false">IF(S154="","",IF(S154&lt;=Escalas!$D$28,"Sí","No — requiere aprobación"))</f>
        <v/>
      </c>
      <c r="V154" s="9"/>
    </row>
    <row r="155" customFormat="false" ht="15" hidden="false" customHeight="false" outlineLevel="0" collapsed="false">
      <c r="A155" s="9"/>
      <c r="B155" s="9"/>
      <c r="C155" s="11" t="str">
        <f aca="false">IF(B155="","",IFERROR(INDEX('Inventario de activos'!$B$5:$B$204,MATCH(B155,'Inventario de activos'!$A$5:$A$204,0)),"ID no encontrado"))</f>
        <v/>
      </c>
      <c r="D155" s="9"/>
      <c r="E155" s="11" t="str">
        <f aca="false">IF(D155="","",IFERROR(INDEX('Catálogo de amenazas'!$B$5:$B$204,MATCH(D155,'Catálogo de amenazas'!$A$5:$A$204,0)),"ID no encontrado"))</f>
        <v/>
      </c>
      <c r="F155" s="9"/>
      <c r="G155" s="11" t="str">
        <f aca="false">IF(F155="","",IFERROR(INDEX('Catálogo de vulnerabilidades'!$B$5:$B$204,MATCH(F155,'Catálogo de vulnerabilidades'!$A$5:$A$204,0)),"ID no encontrado"))</f>
        <v/>
      </c>
      <c r="H155" s="8"/>
      <c r="I155" s="9"/>
      <c r="J155" s="8"/>
      <c r="K155" s="8"/>
      <c r="L155" s="9"/>
      <c r="M155" s="9"/>
      <c r="N155" s="12" t="str">
        <f aca="false">IF(OR(L155="",M155=""),"",L155*M155)</f>
        <v/>
      </c>
      <c r="O155" s="13" t="str">
        <f aca="false">IF(N155="","",IF(N155&gt;=Escalas!$A$24,"Crítico",IF(N155&gt;=Escalas!$A$23,"Alto",IF(N155&gt;=Escalas!$A$22,"Medio","Bajo"))))</f>
        <v/>
      </c>
      <c r="P155" s="9"/>
      <c r="Q155" s="9"/>
      <c r="R155" s="9"/>
      <c r="S155" s="12" t="str">
        <f aca="false">IF(OR(Q155="",R155=""),"",Q155*R155)</f>
        <v/>
      </c>
      <c r="T155" s="13" t="str">
        <f aca="false">IF(S155="","",IF(S155&gt;=Escalas!$A$24,"Crítico",IF(S155&gt;=Escalas!$A$23,"Alto",IF(S155&gt;=Escalas!$A$22,"Medio","Bajo"))))</f>
        <v/>
      </c>
      <c r="U155" s="13" t="str">
        <f aca="false">IF(S155="","",IF(S155&lt;=Escalas!$D$28,"Sí","No — requiere aprobación"))</f>
        <v/>
      </c>
      <c r="V155" s="9"/>
    </row>
    <row r="156" customFormat="false" ht="15" hidden="false" customHeight="false" outlineLevel="0" collapsed="false">
      <c r="A156" s="9"/>
      <c r="B156" s="9"/>
      <c r="C156" s="11" t="str">
        <f aca="false">IF(B156="","",IFERROR(INDEX('Inventario de activos'!$B$5:$B$204,MATCH(B156,'Inventario de activos'!$A$5:$A$204,0)),"ID no encontrado"))</f>
        <v/>
      </c>
      <c r="D156" s="9"/>
      <c r="E156" s="11" t="str">
        <f aca="false">IF(D156="","",IFERROR(INDEX('Catálogo de amenazas'!$B$5:$B$204,MATCH(D156,'Catálogo de amenazas'!$A$5:$A$204,0)),"ID no encontrado"))</f>
        <v/>
      </c>
      <c r="F156" s="9"/>
      <c r="G156" s="11" t="str">
        <f aca="false">IF(F156="","",IFERROR(INDEX('Catálogo de vulnerabilidades'!$B$5:$B$204,MATCH(F156,'Catálogo de vulnerabilidades'!$A$5:$A$204,0)),"ID no encontrado"))</f>
        <v/>
      </c>
      <c r="H156" s="8"/>
      <c r="I156" s="9"/>
      <c r="J156" s="8"/>
      <c r="K156" s="8"/>
      <c r="L156" s="9"/>
      <c r="M156" s="9"/>
      <c r="N156" s="12" t="str">
        <f aca="false">IF(OR(L156="",M156=""),"",L156*M156)</f>
        <v/>
      </c>
      <c r="O156" s="13" t="str">
        <f aca="false">IF(N156="","",IF(N156&gt;=Escalas!$A$24,"Crítico",IF(N156&gt;=Escalas!$A$23,"Alto",IF(N156&gt;=Escalas!$A$22,"Medio","Bajo"))))</f>
        <v/>
      </c>
      <c r="P156" s="9"/>
      <c r="Q156" s="9"/>
      <c r="R156" s="9"/>
      <c r="S156" s="12" t="str">
        <f aca="false">IF(OR(Q156="",R156=""),"",Q156*R156)</f>
        <v/>
      </c>
      <c r="T156" s="13" t="str">
        <f aca="false">IF(S156="","",IF(S156&gt;=Escalas!$A$24,"Crítico",IF(S156&gt;=Escalas!$A$23,"Alto",IF(S156&gt;=Escalas!$A$22,"Medio","Bajo"))))</f>
        <v/>
      </c>
      <c r="U156" s="13" t="str">
        <f aca="false">IF(S156="","",IF(S156&lt;=Escalas!$D$28,"Sí","No — requiere aprobación"))</f>
        <v/>
      </c>
      <c r="V156" s="9"/>
    </row>
    <row r="157" customFormat="false" ht="15" hidden="false" customHeight="false" outlineLevel="0" collapsed="false">
      <c r="A157" s="9"/>
      <c r="B157" s="9"/>
      <c r="C157" s="11" t="str">
        <f aca="false">IF(B157="","",IFERROR(INDEX('Inventario de activos'!$B$5:$B$204,MATCH(B157,'Inventario de activos'!$A$5:$A$204,0)),"ID no encontrado"))</f>
        <v/>
      </c>
      <c r="D157" s="9"/>
      <c r="E157" s="11" t="str">
        <f aca="false">IF(D157="","",IFERROR(INDEX('Catálogo de amenazas'!$B$5:$B$204,MATCH(D157,'Catálogo de amenazas'!$A$5:$A$204,0)),"ID no encontrado"))</f>
        <v/>
      </c>
      <c r="F157" s="9"/>
      <c r="G157" s="11" t="str">
        <f aca="false">IF(F157="","",IFERROR(INDEX('Catálogo de vulnerabilidades'!$B$5:$B$204,MATCH(F157,'Catálogo de vulnerabilidades'!$A$5:$A$204,0)),"ID no encontrado"))</f>
        <v/>
      </c>
      <c r="H157" s="8"/>
      <c r="I157" s="9"/>
      <c r="J157" s="8"/>
      <c r="K157" s="8"/>
      <c r="L157" s="9"/>
      <c r="M157" s="9"/>
      <c r="N157" s="12" t="str">
        <f aca="false">IF(OR(L157="",M157=""),"",L157*M157)</f>
        <v/>
      </c>
      <c r="O157" s="13" t="str">
        <f aca="false">IF(N157="","",IF(N157&gt;=Escalas!$A$24,"Crítico",IF(N157&gt;=Escalas!$A$23,"Alto",IF(N157&gt;=Escalas!$A$22,"Medio","Bajo"))))</f>
        <v/>
      </c>
      <c r="P157" s="9"/>
      <c r="Q157" s="9"/>
      <c r="R157" s="9"/>
      <c r="S157" s="12" t="str">
        <f aca="false">IF(OR(Q157="",R157=""),"",Q157*R157)</f>
        <v/>
      </c>
      <c r="T157" s="13" t="str">
        <f aca="false">IF(S157="","",IF(S157&gt;=Escalas!$A$24,"Crítico",IF(S157&gt;=Escalas!$A$23,"Alto",IF(S157&gt;=Escalas!$A$22,"Medio","Bajo"))))</f>
        <v/>
      </c>
      <c r="U157" s="13" t="str">
        <f aca="false">IF(S157="","",IF(S157&lt;=Escalas!$D$28,"Sí","No — requiere aprobación"))</f>
        <v/>
      </c>
      <c r="V157" s="9"/>
    </row>
    <row r="158" customFormat="false" ht="15" hidden="false" customHeight="false" outlineLevel="0" collapsed="false">
      <c r="A158" s="9"/>
      <c r="B158" s="9"/>
      <c r="C158" s="11" t="str">
        <f aca="false">IF(B158="","",IFERROR(INDEX('Inventario de activos'!$B$5:$B$204,MATCH(B158,'Inventario de activos'!$A$5:$A$204,0)),"ID no encontrado"))</f>
        <v/>
      </c>
      <c r="D158" s="9"/>
      <c r="E158" s="11" t="str">
        <f aca="false">IF(D158="","",IFERROR(INDEX('Catálogo de amenazas'!$B$5:$B$204,MATCH(D158,'Catálogo de amenazas'!$A$5:$A$204,0)),"ID no encontrado"))</f>
        <v/>
      </c>
      <c r="F158" s="9"/>
      <c r="G158" s="11" t="str">
        <f aca="false">IF(F158="","",IFERROR(INDEX('Catálogo de vulnerabilidades'!$B$5:$B$204,MATCH(F158,'Catálogo de vulnerabilidades'!$A$5:$A$204,0)),"ID no encontrado"))</f>
        <v/>
      </c>
      <c r="H158" s="8"/>
      <c r="I158" s="9"/>
      <c r="J158" s="8"/>
      <c r="K158" s="8"/>
      <c r="L158" s="9"/>
      <c r="M158" s="9"/>
      <c r="N158" s="12" t="str">
        <f aca="false">IF(OR(L158="",M158=""),"",L158*M158)</f>
        <v/>
      </c>
      <c r="O158" s="13" t="str">
        <f aca="false">IF(N158="","",IF(N158&gt;=Escalas!$A$24,"Crítico",IF(N158&gt;=Escalas!$A$23,"Alto",IF(N158&gt;=Escalas!$A$22,"Medio","Bajo"))))</f>
        <v/>
      </c>
      <c r="P158" s="9"/>
      <c r="Q158" s="9"/>
      <c r="R158" s="9"/>
      <c r="S158" s="12" t="str">
        <f aca="false">IF(OR(Q158="",R158=""),"",Q158*R158)</f>
        <v/>
      </c>
      <c r="T158" s="13" t="str">
        <f aca="false">IF(S158="","",IF(S158&gt;=Escalas!$A$24,"Crítico",IF(S158&gt;=Escalas!$A$23,"Alto",IF(S158&gt;=Escalas!$A$22,"Medio","Bajo"))))</f>
        <v/>
      </c>
      <c r="U158" s="13" t="str">
        <f aca="false">IF(S158="","",IF(S158&lt;=Escalas!$D$28,"Sí","No — requiere aprobación"))</f>
        <v/>
      </c>
      <c r="V158" s="9"/>
    </row>
    <row r="159" customFormat="false" ht="15" hidden="false" customHeight="false" outlineLevel="0" collapsed="false">
      <c r="A159" s="9"/>
      <c r="B159" s="9"/>
      <c r="C159" s="11" t="str">
        <f aca="false">IF(B159="","",IFERROR(INDEX('Inventario de activos'!$B$5:$B$204,MATCH(B159,'Inventario de activos'!$A$5:$A$204,0)),"ID no encontrado"))</f>
        <v/>
      </c>
      <c r="D159" s="9"/>
      <c r="E159" s="11" t="str">
        <f aca="false">IF(D159="","",IFERROR(INDEX('Catálogo de amenazas'!$B$5:$B$204,MATCH(D159,'Catálogo de amenazas'!$A$5:$A$204,0)),"ID no encontrado"))</f>
        <v/>
      </c>
      <c r="F159" s="9"/>
      <c r="G159" s="11" t="str">
        <f aca="false">IF(F159="","",IFERROR(INDEX('Catálogo de vulnerabilidades'!$B$5:$B$204,MATCH(F159,'Catálogo de vulnerabilidades'!$A$5:$A$204,0)),"ID no encontrado"))</f>
        <v/>
      </c>
      <c r="H159" s="8"/>
      <c r="I159" s="9"/>
      <c r="J159" s="8"/>
      <c r="K159" s="8"/>
      <c r="L159" s="9"/>
      <c r="M159" s="9"/>
      <c r="N159" s="12" t="str">
        <f aca="false">IF(OR(L159="",M159=""),"",L159*M159)</f>
        <v/>
      </c>
      <c r="O159" s="13" t="str">
        <f aca="false">IF(N159="","",IF(N159&gt;=Escalas!$A$24,"Crítico",IF(N159&gt;=Escalas!$A$23,"Alto",IF(N159&gt;=Escalas!$A$22,"Medio","Bajo"))))</f>
        <v/>
      </c>
      <c r="P159" s="9"/>
      <c r="Q159" s="9"/>
      <c r="R159" s="9"/>
      <c r="S159" s="12" t="str">
        <f aca="false">IF(OR(Q159="",R159=""),"",Q159*R159)</f>
        <v/>
      </c>
      <c r="T159" s="13" t="str">
        <f aca="false">IF(S159="","",IF(S159&gt;=Escalas!$A$24,"Crítico",IF(S159&gt;=Escalas!$A$23,"Alto",IF(S159&gt;=Escalas!$A$22,"Medio","Bajo"))))</f>
        <v/>
      </c>
      <c r="U159" s="13" t="str">
        <f aca="false">IF(S159="","",IF(S159&lt;=Escalas!$D$28,"Sí","No — requiere aprobación"))</f>
        <v/>
      </c>
      <c r="V159" s="9"/>
    </row>
    <row r="160" customFormat="false" ht="15" hidden="false" customHeight="false" outlineLevel="0" collapsed="false">
      <c r="A160" s="9"/>
      <c r="B160" s="9"/>
      <c r="C160" s="11" t="str">
        <f aca="false">IF(B160="","",IFERROR(INDEX('Inventario de activos'!$B$5:$B$204,MATCH(B160,'Inventario de activos'!$A$5:$A$204,0)),"ID no encontrado"))</f>
        <v/>
      </c>
      <c r="D160" s="9"/>
      <c r="E160" s="11" t="str">
        <f aca="false">IF(D160="","",IFERROR(INDEX('Catálogo de amenazas'!$B$5:$B$204,MATCH(D160,'Catálogo de amenazas'!$A$5:$A$204,0)),"ID no encontrado"))</f>
        <v/>
      </c>
      <c r="F160" s="9"/>
      <c r="G160" s="11" t="str">
        <f aca="false">IF(F160="","",IFERROR(INDEX('Catálogo de vulnerabilidades'!$B$5:$B$204,MATCH(F160,'Catálogo de vulnerabilidades'!$A$5:$A$204,0)),"ID no encontrado"))</f>
        <v/>
      </c>
      <c r="H160" s="8"/>
      <c r="I160" s="9"/>
      <c r="J160" s="8"/>
      <c r="K160" s="8"/>
      <c r="L160" s="9"/>
      <c r="M160" s="9"/>
      <c r="N160" s="12" t="str">
        <f aca="false">IF(OR(L160="",M160=""),"",L160*M160)</f>
        <v/>
      </c>
      <c r="O160" s="13" t="str">
        <f aca="false">IF(N160="","",IF(N160&gt;=Escalas!$A$24,"Crítico",IF(N160&gt;=Escalas!$A$23,"Alto",IF(N160&gt;=Escalas!$A$22,"Medio","Bajo"))))</f>
        <v/>
      </c>
      <c r="P160" s="9"/>
      <c r="Q160" s="9"/>
      <c r="R160" s="9"/>
      <c r="S160" s="12" t="str">
        <f aca="false">IF(OR(Q160="",R160=""),"",Q160*R160)</f>
        <v/>
      </c>
      <c r="T160" s="13" t="str">
        <f aca="false">IF(S160="","",IF(S160&gt;=Escalas!$A$24,"Crítico",IF(S160&gt;=Escalas!$A$23,"Alto",IF(S160&gt;=Escalas!$A$22,"Medio","Bajo"))))</f>
        <v/>
      </c>
      <c r="U160" s="13" t="str">
        <f aca="false">IF(S160="","",IF(S160&lt;=Escalas!$D$28,"Sí","No — requiere aprobación"))</f>
        <v/>
      </c>
      <c r="V160" s="9"/>
    </row>
    <row r="161" customFormat="false" ht="15" hidden="false" customHeight="false" outlineLevel="0" collapsed="false">
      <c r="A161" s="9"/>
      <c r="B161" s="9"/>
      <c r="C161" s="11" t="str">
        <f aca="false">IF(B161="","",IFERROR(INDEX('Inventario de activos'!$B$5:$B$204,MATCH(B161,'Inventario de activos'!$A$5:$A$204,0)),"ID no encontrado"))</f>
        <v/>
      </c>
      <c r="D161" s="9"/>
      <c r="E161" s="11" t="str">
        <f aca="false">IF(D161="","",IFERROR(INDEX('Catálogo de amenazas'!$B$5:$B$204,MATCH(D161,'Catálogo de amenazas'!$A$5:$A$204,0)),"ID no encontrado"))</f>
        <v/>
      </c>
      <c r="F161" s="9"/>
      <c r="G161" s="11" t="str">
        <f aca="false">IF(F161="","",IFERROR(INDEX('Catálogo de vulnerabilidades'!$B$5:$B$204,MATCH(F161,'Catálogo de vulnerabilidades'!$A$5:$A$204,0)),"ID no encontrado"))</f>
        <v/>
      </c>
      <c r="H161" s="8"/>
      <c r="I161" s="9"/>
      <c r="J161" s="8"/>
      <c r="K161" s="8"/>
      <c r="L161" s="9"/>
      <c r="M161" s="9"/>
      <c r="N161" s="12" t="str">
        <f aca="false">IF(OR(L161="",M161=""),"",L161*M161)</f>
        <v/>
      </c>
      <c r="O161" s="13" t="str">
        <f aca="false">IF(N161="","",IF(N161&gt;=Escalas!$A$24,"Crítico",IF(N161&gt;=Escalas!$A$23,"Alto",IF(N161&gt;=Escalas!$A$22,"Medio","Bajo"))))</f>
        <v/>
      </c>
      <c r="P161" s="9"/>
      <c r="Q161" s="9"/>
      <c r="R161" s="9"/>
      <c r="S161" s="12" t="str">
        <f aca="false">IF(OR(Q161="",R161=""),"",Q161*R161)</f>
        <v/>
      </c>
      <c r="T161" s="13" t="str">
        <f aca="false">IF(S161="","",IF(S161&gt;=Escalas!$A$24,"Crítico",IF(S161&gt;=Escalas!$A$23,"Alto",IF(S161&gt;=Escalas!$A$22,"Medio","Bajo"))))</f>
        <v/>
      </c>
      <c r="U161" s="13" t="str">
        <f aca="false">IF(S161="","",IF(S161&lt;=Escalas!$D$28,"Sí","No — requiere aprobación"))</f>
        <v/>
      </c>
      <c r="V161" s="9"/>
    </row>
    <row r="162" customFormat="false" ht="15" hidden="false" customHeight="false" outlineLevel="0" collapsed="false">
      <c r="A162" s="9"/>
      <c r="B162" s="9"/>
      <c r="C162" s="11" t="str">
        <f aca="false">IF(B162="","",IFERROR(INDEX('Inventario de activos'!$B$5:$B$204,MATCH(B162,'Inventario de activos'!$A$5:$A$204,0)),"ID no encontrado"))</f>
        <v/>
      </c>
      <c r="D162" s="9"/>
      <c r="E162" s="11" t="str">
        <f aca="false">IF(D162="","",IFERROR(INDEX('Catálogo de amenazas'!$B$5:$B$204,MATCH(D162,'Catálogo de amenazas'!$A$5:$A$204,0)),"ID no encontrado"))</f>
        <v/>
      </c>
      <c r="F162" s="9"/>
      <c r="G162" s="11" t="str">
        <f aca="false">IF(F162="","",IFERROR(INDEX('Catálogo de vulnerabilidades'!$B$5:$B$204,MATCH(F162,'Catálogo de vulnerabilidades'!$A$5:$A$204,0)),"ID no encontrado"))</f>
        <v/>
      </c>
      <c r="H162" s="8"/>
      <c r="I162" s="9"/>
      <c r="J162" s="8"/>
      <c r="K162" s="8"/>
      <c r="L162" s="9"/>
      <c r="M162" s="9"/>
      <c r="N162" s="12" t="str">
        <f aca="false">IF(OR(L162="",M162=""),"",L162*M162)</f>
        <v/>
      </c>
      <c r="O162" s="13" t="str">
        <f aca="false">IF(N162="","",IF(N162&gt;=Escalas!$A$24,"Crítico",IF(N162&gt;=Escalas!$A$23,"Alto",IF(N162&gt;=Escalas!$A$22,"Medio","Bajo"))))</f>
        <v/>
      </c>
      <c r="P162" s="9"/>
      <c r="Q162" s="9"/>
      <c r="R162" s="9"/>
      <c r="S162" s="12" t="str">
        <f aca="false">IF(OR(Q162="",R162=""),"",Q162*R162)</f>
        <v/>
      </c>
      <c r="T162" s="13" t="str">
        <f aca="false">IF(S162="","",IF(S162&gt;=Escalas!$A$24,"Crítico",IF(S162&gt;=Escalas!$A$23,"Alto",IF(S162&gt;=Escalas!$A$22,"Medio","Bajo"))))</f>
        <v/>
      </c>
      <c r="U162" s="13" t="str">
        <f aca="false">IF(S162="","",IF(S162&lt;=Escalas!$D$28,"Sí","No — requiere aprobación"))</f>
        <v/>
      </c>
      <c r="V162" s="9"/>
    </row>
    <row r="163" customFormat="false" ht="15" hidden="false" customHeight="false" outlineLevel="0" collapsed="false">
      <c r="A163" s="9"/>
      <c r="B163" s="9"/>
      <c r="C163" s="11" t="str">
        <f aca="false">IF(B163="","",IFERROR(INDEX('Inventario de activos'!$B$5:$B$204,MATCH(B163,'Inventario de activos'!$A$5:$A$204,0)),"ID no encontrado"))</f>
        <v/>
      </c>
      <c r="D163" s="9"/>
      <c r="E163" s="11" t="str">
        <f aca="false">IF(D163="","",IFERROR(INDEX('Catálogo de amenazas'!$B$5:$B$204,MATCH(D163,'Catálogo de amenazas'!$A$5:$A$204,0)),"ID no encontrado"))</f>
        <v/>
      </c>
      <c r="F163" s="9"/>
      <c r="G163" s="11" t="str">
        <f aca="false">IF(F163="","",IFERROR(INDEX('Catálogo de vulnerabilidades'!$B$5:$B$204,MATCH(F163,'Catálogo de vulnerabilidades'!$A$5:$A$204,0)),"ID no encontrado"))</f>
        <v/>
      </c>
      <c r="H163" s="8"/>
      <c r="I163" s="9"/>
      <c r="J163" s="8"/>
      <c r="K163" s="8"/>
      <c r="L163" s="9"/>
      <c r="M163" s="9"/>
      <c r="N163" s="12" t="str">
        <f aca="false">IF(OR(L163="",M163=""),"",L163*M163)</f>
        <v/>
      </c>
      <c r="O163" s="13" t="str">
        <f aca="false">IF(N163="","",IF(N163&gt;=Escalas!$A$24,"Crítico",IF(N163&gt;=Escalas!$A$23,"Alto",IF(N163&gt;=Escalas!$A$22,"Medio","Bajo"))))</f>
        <v/>
      </c>
      <c r="P163" s="9"/>
      <c r="Q163" s="9"/>
      <c r="R163" s="9"/>
      <c r="S163" s="12" t="str">
        <f aca="false">IF(OR(Q163="",R163=""),"",Q163*R163)</f>
        <v/>
      </c>
      <c r="T163" s="13" t="str">
        <f aca="false">IF(S163="","",IF(S163&gt;=Escalas!$A$24,"Crítico",IF(S163&gt;=Escalas!$A$23,"Alto",IF(S163&gt;=Escalas!$A$22,"Medio","Bajo"))))</f>
        <v/>
      </c>
      <c r="U163" s="13" t="str">
        <f aca="false">IF(S163="","",IF(S163&lt;=Escalas!$D$28,"Sí","No — requiere aprobación"))</f>
        <v/>
      </c>
      <c r="V163" s="9"/>
    </row>
    <row r="164" customFormat="false" ht="15" hidden="false" customHeight="false" outlineLevel="0" collapsed="false">
      <c r="A164" s="9"/>
      <c r="B164" s="9"/>
      <c r="C164" s="11" t="str">
        <f aca="false">IF(B164="","",IFERROR(INDEX('Inventario de activos'!$B$5:$B$204,MATCH(B164,'Inventario de activos'!$A$5:$A$204,0)),"ID no encontrado"))</f>
        <v/>
      </c>
      <c r="D164" s="9"/>
      <c r="E164" s="11" t="str">
        <f aca="false">IF(D164="","",IFERROR(INDEX('Catálogo de amenazas'!$B$5:$B$204,MATCH(D164,'Catálogo de amenazas'!$A$5:$A$204,0)),"ID no encontrado"))</f>
        <v/>
      </c>
      <c r="F164" s="9"/>
      <c r="G164" s="11" t="str">
        <f aca="false">IF(F164="","",IFERROR(INDEX('Catálogo de vulnerabilidades'!$B$5:$B$204,MATCH(F164,'Catálogo de vulnerabilidades'!$A$5:$A$204,0)),"ID no encontrado"))</f>
        <v/>
      </c>
      <c r="H164" s="8"/>
      <c r="I164" s="9"/>
      <c r="J164" s="8"/>
      <c r="K164" s="8"/>
      <c r="L164" s="9"/>
      <c r="M164" s="9"/>
      <c r="N164" s="12" t="str">
        <f aca="false">IF(OR(L164="",M164=""),"",L164*M164)</f>
        <v/>
      </c>
      <c r="O164" s="13" t="str">
        <f aca="false">IF(N164="","",IF(N164&gt;=Escalas!$A$24,"Crítico",IF(N164&gt;=Escalas!$A$23,"Alto",IF(N164&gt;=Escalas!$A$22,"Medio","Bajo"))))</f>
        <v/>
      </c>
      <c r="P164" s="9"/>
      <c r="Q164" s="9"/>
      <c r="R164" s="9"/>
      <c r="S164" s="12" t="str">
        <f aca="false">IF(OR(Q164="",R164=""),"",Q164*R164)</f>
        <v/>
      </c>
      <c r="T164" s="13" t="str">
        <f aca="false">IF(S164="","",IF(S164&gt;=Escalas!$A$24,"Crítico",IF(S164&gt;=Escalas!$A$23,"Alto",IF(S164&gt;=Escalas!$A$22,"Medio","Bajo"))))</f>
        <v/>
      </c>
      <c r="U164" s="13" t="str">
        <f aca="false">IF(S164="","",IF(S164&lt;=Escalas!$D$28,"Sí","No — requiere aprobación"))</f>
        <v/>
      </c>
      <c r="V164" s="9"/>
    </row>
    <row r="165" customFormat="false" ht="15" hidden="false" customHeight="false" outlineLevel="0" collapsed="false">
      <c r="A165" s="9"/>
      <c r="B165" s="9"/>
      <c r="C165" s="11" t="str">
        <f aca="false">IF(B165="","",IFERROR(INDEX('Inventario de activos'!$B$5:$B$204,MATCH(B165,'Inventario de activos'!$A$5:$A$204,0)),"ID no encontrado"))</f>
        <v/>
      </c>
      <c r="D165" s="9"/>
      <c r="E165" s="11" t="str">
        <f aca="false">IF(D165="","",IFERROR(INDEX('Catálogo de amenazas'!$B$5:$B$204,MATCH(D165,'Catálogo de amenazas'!$A$5:$A$204,0)),"ID no encontrado"))</f>
        <v/>
      </c>
      <c r="F165" s="9"/>
      <c r="G165" s="11" t="str">
        <f aca="false">IF(F165="","",IFERROR(INDEX('Catálogo de vulnerabilidades'!$B$5:$B$204,MATCH(F165,'Catálogo de vulnerabilidades'!$A$5:$A$204,0)),"ID no encontrado"))</f>
        <v/>
      </c>
      <c r="H165" s="8"/>
      <c r="I165" s="9"/>
      <c r="J165" s="8"/>
      <c r="K165" s="8"/>
      <c r="L165" s="9"/>
      <c r="M165" s="9"/>
      <c r="N165" s="12" t="str">
        <f aca="false">IF(OR(L165="",M165=""),"",L165*M165)</f>
        <v/>
      </c>
      <c r="O165" s="13" t="str">
        <f aca="false">IF(N165="","",IF(N165&gt;=Escalas!$A$24,"Crítico",IF(N165&gt;=Escalas!$A$23,"Alto",IF(N165&gt;=Escalas!$A$22,"Medio","Bajo"))))</f>
        <v/>
      </c>
      <c r="P165" s="9"/>
      <c r="Q165" s="9"/>
      <c r="R165" s="9"/>
      <c r="S165" s="12" t="str">
        <f aca="false">IF(OR(Q165="",R165=""),"",Q165*R165)</f>
        <v/>
      </c>
      <c r="T165" s="13" t="str">
        <f aca="false">IF(S165="","",IF(S165&gt;=Escalas!$A$24,"Crítico",IF(S165&gt;=Escalas!$A$23,"Alto",IF(S165&gt;=Escalas!$A$22,"Medio","Bajo"))))</f>
        <v/>
      </c>
      <c r="U165" s="13" t="str">
        <f aca="false">IF(S165="","",IF(S165&lt;=Escalas!$D$28,"Sí","No — requiere aprobación"))</f>
        <v/>
      </c>
      <c r="V165" s="9"/>
    </row>
    <row r="166" customFormat="false" ht="15" hidden="false" customHeight="false" outlineLevel="0" collapsed="false">
      <c r="A166" s="9"/>
      <c r="B166" s="9"/>
      <c r="C166" s="11" t="str">
        <f aca="false">IF(B166="","",IFERROR(INDEX('Inventario de activos'!$B$5:$B$204,MATCH(B166,'Inventario de activos'!$A$5:$A$204,0)),"ID no encontrado"))</f>
        <v/>
      </c>
      <c r="D166" s="9"/>
      <c r="E166" s="11" t="str">
        <f aca="false">IF(D166="","",IFERROR(INDEX('Catálogo de amenazas'!$B$5:$B$204,MATCH(D166,'Catálogo de amenazas'!$A$5:$A$204,0)),"ID no encontrado"))</f>
        <v/>
      </c>
      <c r="F166" s="9"/>
      <c r="G166" s="11" t="str">
        <f aca="false">IF(F166="","",IFERROR(INDEX('Catálogo de vulnerabilidades'!$B$5:$B$204,MATCH(F166,'Catálogo de vulnerabilidades'!$A$5:$A$204,0)),"ID no encontrado"))</f>
        <v/>
      </c>
      <c r="H166" s="8"/>
      <c r="I166" s="9"/>
      <c r="J166" s="8"/>
      <c r="K166" s="8"/>
      <c r="L166" s="9"/>
      <c r="M166" s="9"/>
      <c r="N166" s="12" t="str">
        <f aca="false">IF(OR(L166="",M166=""),"",L166*M166)</f>
        <v/>
      </c>
      <c r="O166" s="13" t="str">
        <f aca="false">IF(N166="","",IF(N166&gt;=Escalas!$A$24,"Crítico",IF(N166&gt;=Escalas!$A$23,"Alto",IF(N166&gt;=Escalas!$A$22,"Medio","Bajo"))))</f>
        <v/>
      </c>
      <c r="P166" s="9"/>
      <c r="Q166" s="9"/>
      <c r="R166" s="9"/>
      <c r="S166" s="12" t="str">
        <f aca="false">IF(OR(Q166="",R166=""),"",Q166*R166)</f>
        <v/>
      </c>
      <c r="T166" s="13" t="str">
        <f aca="false">IF(S166="","",IF(S166&gt;=Escalas!$A$24,"Crítico",IF(S166&gt;=Escalas!$A$23,"Alto",IF(S166&gt;=Escalas!$A$22,"Medio","Bajo"))))</f>
        <v/>
      </c>
      <c r="U166" s="13" t="str">
        <f aca="false">IF(S166="","",IF(S166&lt;=Escalas!$D$28,"Sí","No — requiere aprobación"))</f>
        <v/>
      </c>
      <c r="V166" s="9"/>
    </row>
    <row r="167" customFormat="false" ht="15" hidden="false" customHeight="false" outlineLevel="0" collapsed="false">
      <c r="A167" s="9"/>
      <c r="B167" s="9"/>
      <c r="C167" s="11" t="str">
        <f aca="false">IF(B167="","",IFERROR(INDEX('Inventario de activos'!$B$5:$B$204,MATCH(B167,'Inventario de activos'!$A$5:$A$204,0)),"ID no encontrado"))</f>
        <v/>
      </c>
      <c r="D167" s="9"/>
      <c r="E167" s="11" t="str">
        <f aca="false">IF(D167="","",IFERROR(INDEX('Catálogo de amenazas'!$B$5:$B$204,MATCH(D167,'Catálogo de amenazas'!$A$5:$A$204,0)),"ID no encontrado"))</f>
        <v/>
      </c>
      <c r="F167" s="9"/>
      <c r="G167" s="11" t="str">
        <f aca="false">IF(F167="","",IFERROR(INDEX('Catálogo de vulnerabilidades'!$B$5:$B$204,MATCH(F167,'Catálogo de vulnerabilidades'!$A$5:$A$204,0)),"ID no encontrado"))</f>
        <v/>
      </c>
      <c r="H167" s="8"/>
      <c r="I167" s="9"/>
      <c r="J167" s="8"/>
      <c r="K167" s="8"/>
      <c r="L167" s="9"/>
      <c r="M167" s="9"/>
      <c r="N167" s="12" t="str">
        <f aca="false">IF(OR(L167="",M167=""),"",L167*M167)</f>
        <v/>
      </c>
      <c r="O167" s="13" t="str">
        <f aca="false">IF(N167="","",IF(N167&gt;=Escalas!$A$24,"Crítico",IF(N167&gt;=Escalas!$A$23,"Alto",IF(N167&gt;=Escalas!$A$22,"Medio","Bajo"))))</f>
        <v/>
      </c>
      <c r="P167" s="9"/>
      <c r="Q167" s="9"/>
      <c r="R167" s="9"/>
      <c r="S167" s="12" t="str">
        <f aca="false">IF(OR(Q167="",R167=""),"",Q167*R167)</f>
        <v/>
      </c>
      <c r="T167" s="13" t="str">
        <f aca="false">IF(S167="","",IF(S167&gt;=Escalas!$A$24,"Crítico",IF(S167&gt;=Escalas!$A$23,"Alto",IF(S167&gt;=Escalas!$A$22,"Medio","Bajo"))))</f>
        <v/>
      </c>
      <c r="U167" s="13" t="str">
        <f aca="false">IF(S167="","",IF(S167&lt;=Escalas!$D$28,"Sí","No — requiere aprobación"))</f>
        <v/>
      </c>
      <c r="V167" s="9"/>
    </row>
    <row r="168" customFormat="false" ht="15" hidden="false" customHeight="false" outlineLevel="0" collapsed="false">
      <c r="A168" s="9"/>
      <c r="B168" s="9"/>
      <c r="C168" s="11" t="str">
        <f aca="false">IF(B168="","",IFERROR(INDEX('Inventario de activos'!$B$5:$B$204,MATCH(B168,'Inventario de activos'!$A$5:$A$204,0)),"ID no encontrado"))</f>
        <v/>
      </c>
      <c r="D168" s="9"/>
      <c r="E168" s="11" t="str">
        <f aca="false">IF(D168="","",IFERROR(INDEX('Catálogo de amenazas'!$B$5:$B$204,MATCH(D168,'Catálogo de amenazas'!$A$5:$A$204,0)),"ID no encontrado"))</f>
        <v/>
      </c>
      <c r="F168" s="9"/>
      <c r="G168" s="11" t="str">
        <f aca="false">IF(F168="","",IFERROR(INDEX('Catálogo de vulnerabilidades'!$B$5:$B$204,MATCH(F168,'Catálogo de vulnerabilidades'!$A$5:$A$204,0)),"ID no encontrado"))</f>
        <v/>
      </c>
      <c r="H168" s="8"/>
      <c r="I168" s="9"/>
      <c r="J168" s="8"/>
      <c r="K168" s="8"/>
      <c r="L168" s="9"/>
      <c r="M168" s="9"/>
      <c r="N168" s="12" t="str">
        <f aca="false">IF(OR(L168="",M168=""),"",L168*M168)</f>
        <v/>
      </c>
      <c r="O168" s="13" t="str">
        <f aca="false">IF(N168="","",IF(N168&gt;=Escalas!$A$24,"Crítico",IF(N168&gt;=Escalas!$A$23,"Alto",IF(N168&gt;=Escalas!$A$22,"Medio","Bajo"))))</f>
        <v/>
      </c>
      <c r="P168" s="9"/>
      <c r="Q168" s="9"/>
      <c r="R168" s="9"/>
      <c r="S168" s="12" t="str">
        <f aca="false">IF(OR(Q168="",R168=""),"",Q168*R168)</f>
        <v/>
      </c>
      <c r="T168" s="13" t="str">
        <f aca="false">IF(S168="","",IF(S168&gt;=Escalas!$A$24,"Crítico",IF(S168&gt;=Escalas!$A$23,"Alto",IF(S168&gt;=Escalas!$A$22,"Medio","Bajo"))))</f>
        <v/>
      </c>
      <c r="U168" s="13" t="str">
        <f aca="false">IF(S168="","",IF(S168&lt;=Escalas!$D$28,"Sí","No — requiere aprobación"))</f>
        <v/>
      </c>
      <c r="V168" s="9"/>
    </row>
    <row r="169" customFormat="false" ht="15" hidden="false" customHeight="false" outlineLevel="0" collapsed="false">
      <c r="A169" s="9"/>
      <c r="B169" s="9"/>
      <c r="C169" s="11" t="str">
        <f aca="false">IF(B169="","",IFERROR(INDEX('Inventario de activos'!$B$5:$B$204,MATCH(B169,'Inventario de activos'!$A$5:$A$204,0)),"ID no encontrado"))</f>
        <v/>
      </c>
      <c r="D169" s="9"/>
      <c r="E169" s="11" t="str">
        <f aca="false">IF(D169="","",IFERROR(INDEX('Catálogo de amenazas'!$B$5:$B$204,MATCH(D169,'Catálogo de amenazas'!$A$5:$A$204,0)),"ID no encontrado"))</f>
        <v/>
      </c>
      <c r="F169" s="9"/>
      <c r="G169" s="11" t="str">
        <f aca="false">IF(F169="","",IFERROR(INDEX('Catálogo de vulnerabilidades'!$B$5:$B$204,MATCH(F169,'Catálogo de vulnerabilidades'!$A$5:$A$204,0)),"ID no encontrado"))</f>
        <v/>
      </c>
      <c r="H169" s="8"/>
      <c r="I169" s="9"/>
      <c r="J169" s="8"/>
      <c r="K169" s="8"/>
      <c r="L169" s="9"/>
      <c r="M169" s="9"/>
      <c r="N169" s="12" t="str">
        <f aca="false">IF(OR(L169="",M169=""),"",L169*M169)</f>
        <v/>
      </c>
      <c r="O169" s="13" t="str">
        <f aca="false">IF(N169="","",IF(N169&gt;=Escalas!$A$24,"Crítico",IF(N169&gt;=Escalas!$A$23,"Alto",IF(N169&gt;=Escalas!$A$22,"Medio","Bajo"))))</f>
        <v/>
      </c>
      <c r="P169" s="9"/>
      <c r="Q169" s="9"/>
      <c r="R169" s="9"/>
      <c r="S169" s="12" t="str">
        <f aca="false">IF(OR(Q169="",R169=""),"",Q169*R169)</f>
        <v/>
      </c>
      <c r="T169" s="13" t="str">
        <f aca="false">IF(S169="","",IF(S169&gt;=Escalas!$A$24,"Crítico",IF(S169&gt;=Escalas!$A$23,"Alto",IF(S169&gt;=Escalas!$A$22,"Medio","Bajo"))))</f>
        <v/>
      </c>
      <c r="U169" s="13" t="str">
        <f aca="false">IF(S169="","",IF(S169&lt;=Escalas!$D$28,"Sí","No — requiere aprobación"))</f>
        <v/>
      </c>
      <c r="V169" s="9"/>
    </row>
    <row r="170" customFormat="false" ht="15" hidden="false" customHeight="false" outlineLevel="0" collapsed="false">
      <c r="A170" s="9"/>
      <c r="B170" s="9"/>
      <c r="C170" s="11" t="str">
        <f aca="false">IF(B170="","",IFERROR(INDEX('Inventario de activos'!$B$5:$B$204,MATCH(B170,'Inventario de activos'!$A$5:$A$204,0)),"ID no encontrado"))</f>
        <v/>
      </c>
      <c r="D170" s="9"/>
      <c r="E170" s="11" t="str">
        <f aca="false">IF(D170="","",IFERROR(INDEX('Catálogo de amenazas'!$B$5:$B$204,MATCH(D170,'Catálogo de amenazas'!$A$5:$A$204,0)),"ID no encontrado"))</f>
        <v/>
      </c>
      <c r="F170" s="9"/>
      <c r="G170" s="11" t="str">
        <f aca="false">IF(F170="","",IFERROR(INDEX('Catálogo de vulnerabilidades'!$B$5:$B$204,MATCH(F170,'Catálogo de vulnerabilidades'!$A$5:$A$204,0)),"ID no encontrado"))</f>
        <v/>
      </c>
      <c r="H170" s="8"/>
      <c r="I170" s="9"/>
      <c r="J170" s="8"/>
      <c r="K170" s="8"/>
      <c r="L170" s="9"/>
      <c r="M170" s="9"/>
      <c r="N170" s="12" t="str">
        <f aca="false">IF(OR(L170="",M170=""),"",L170*M170)</f>
        <v/>
      </c>
      <c r="O170" s="13" t="str">
        <f aca="false">IF(N170="","",IF(N170&gt;=Escalas!$A$24,"Crítico",IF(N170&gt;=Escalas!$A$23,"Alto",IF(N170&gt;=Escalas!$A$22,"Medio","Bajo"))))</f>
        <v/>
      </c>
      <c r="P170" s="9"/>
      <c r="Q170" s="9"/>
      <c r="R170" s="9"/>
      <c r="S170" s="12" t="str">
        <f aca="false">IF(OR(Q170="",R170=""),"",Q170*R170)</f>
        <v/>
      </c>
      <c r="T170" s="13" t="str">
        <f aca="false">IF(S170="","",IF(S170&gt;=Escalas!$A$24,"Crítico",IF(S170&gt;=Escalas!$A$23,"Alto",IF(S170&gt;=Escalas!$A$22,"Medio","Bajo"))))</f>
        <v/>
      </c>
      <c r="U170" s="13" t="str">
        <f aca="false">IF(S170="","",IF(S170&lt;=Escalas!$D$28,"Sí","No — requiere aprobación"))</f>
        <v/>
      </c>
      <c r="V170" s="9"/>
    </row>
    <row r="171" customFormat="false" ht="15" hidden="false" customHeight="false" outlineLevel="0" collapsed="false">
      <c r="A171" s="9"/>
      <c r="B171" s="9"/>
      <c r="C171" s="11" t="str">
        <f aca="false">IF(B171="","",IFERROR(INDEX('Inventario de activos'!$B$5:$B$204,MATCH(B171,'Inventario de activos'!$A$5:$A$204,0)),"ID no encontrado"))</f>
        <v/>
      </c>
      <c r="D171" s="9"/>
      <c r="E171" s="11" t="str">
        <f aca="false">IF(D171="","",IFERROR(INDEX('Catálogo de amenazas'!$B$5:$B$204,MATCH(D171,'Catálogo de amenazas'!$A$5:$A$204,0)),"ID no encontrado"))</f>
        <v/>
      </c>
      <c r="F171" s="9"/>
      <c r="G171" s="11" t="str">
        <f aca="false">IF(F171="","",IFERROR(INDEX('Catálogo de vulnerabilidades'!$B$5:$B$204,MATCH(F171,'Catálogo de vulnerabilidades'!$A$5:$A$204,0)),"ID no encontrado"))</f>
        <v/>
      </c>
      <c r="H171" s="8"/>
      <c r="I171" s="9"/>
      <c r="J171" s="8"/>
      <c r="K171" s="8"/>
      <c r="L171" s="9"/>
      <c r="M171" s="9"/>
      <c r="N171" s="12" t="str">
        <f aca="false">IF(OR(L171="",M171=""),"",L171*M171)</f>
        <v/>
      </c>
      <c r="O171" s="13" t="str">
        <f aca="false">IF(N171="","",IF(N171&gt;=Escalas!$A$24,"Crítico",IF(N171&gt;=Escalas!$A$23,"Alto",IF(N171&gt;=Escalas!$A$22,"Medio","Bajo"))))</f>
        <v/>
      </c>
      <c r="P171" s="9"/>
      <c r="Q171" s="9"/>
      <c r="R171" s="9"/>
      <c r="S171" s="12" t="str">
        <f aca="false">IF(OR(Q171="",R171=""),"",Q171*R171)</f>
        <v/>
      </c>
      <c r="T171" s="13" t="str">
        <f aca="false">IF(S171="","",IF(S171&gt;=Escalas!$A$24,"Crítico",IF(S171&gt;=Escalas!$A$23,"Alto",IF(S171&gt;=Escalas!$A$22,"Medio","Bajo"))))</f>
        <v/>
      </c>
      <c r="U171" s="13" t="str">
        <f aca="false">IF(S171="","",IF(S171&lt;=Escalas!$D$28,"Sí","No — requiere aprobación"))</f>
        <v/>
      </c>
      <c r="V171" s="9"/>
    </row>
    <row r="172" customFormat="false" ht="15" hidden="false" customHeight="false" outlineLevel="0" collapsed="false">
      <c r="A172" s="9"/>
      <c r="B172" s="9"/>
      <c r="C172" s="11" t="str">
        <f aca="false">IF(B172="","",IFERROR(INDEX('Inventario de activos'!$B$5:$B$204,MATCH(B172,'Inventario de activos'!$A$5:$A$204,0)),"ID no encontrado"))</f>
        <v/>
      </c>
      <c r="D172" s="9"/>
      <c r="E172" s="11" t="str">
        <f aca="false">IF(D172="","",IFERROR(INDEX('Catálogo de amenazas'!$B$5:$B$204,MATCH(D172,'Catálogo de amenazas'!$A$5:$A$204,0)),"ID no encontrado"))</f>
        <v/>
      </c>
      <c r="F172" s="9"/>
      <c r="G172" s="11" t="str">
        <f aca="false">IF(F172="","",IFERROR(INDEX('Catálogo de vulnerabilidades'!$B$5:$B$204,MATCH(F172,'Catálogo de vulnerabilidades'!$A$5:$A$204,0)),"ID no encontrado"))</f>
        <v/>
      </c>
      <c r="H172" s="8"/>
      <c r="I172" s="9"/>
      <c r="J172" s="8"/>
      <c r="K172" s="8"/>
      <c r="L172" s="9"/>
      <c r="M172" s="9"/>
      <c r="N172" s="12" t="str">
        <f aca="false">IF(OR(L172="",M172=""),"",L172*M172)</f>
        <v/>
      </c>
      <c r="O172" s="13" t="str">
        <f aca="false">IF(N172="","",IF(N172&gt;=Escalas!$A$24,"Crítico",IF(N172&gt;=Escalas!$A$23,"Alto",IF(N172&gt;=Escalas!$A$22,"Medio","Bajo"))))</f>
        <v/>
      </c>
      <c r="P172" s="9"/>
      <c r="Q172" s="9"/>
      <c r="R172" s="9"/>
      <c r="S172" s="12" t="str">
        <f aca="false">IF(OR(Q172="",R172=""),"",Q172*R172)</f>
        <v/>
      </c>
      <c r="T172" s="13" t="str">
        <f aca="false">IF(S172="","",IF(S172&gt;=Escalas!$A$24,"Crítico",IF(S172&gt;=Escalas!$A$23,"Alto",IF(S172&gt;=Escalas!$A$22,"Medio","Bajo"))))</f>
        <v/>
      </c>
      <c r="U172" s="13" t="str">
        <f aca="false">IF(S172="","",IF(S172&lt;=Escalas!$D$28,"Sí","No — requiere aprobación"))</f>
        <v/>
      </c>
      <c r="V172" s="9"/>
    </row>
    <row r="173" customFormat="false" ht="15" hidden="false" customHeight="false" outlineLevel="0" collapsed="false">
      <c r="A173" s="9"/>
      <c r="B173" s="9"/>
      <c r="C173" s="11" t="str">
        <f aca="false">IF(B173="","",IFERROR(INDEX('Inventario de activos'!$B$5:$B$204,MATCH(B173,'Inventario de activos'!$A$5:$A$204,0)),"ID no encontrado"))</f>
        <v/>
      </c>
      <c r="D173" s="9"/>
      <c r="E173" s="11" t="str">
        <f aca="false">IF(D173="","",IFERROR(INDEX('Catálogo de amenazas'!$B$5:$B$204,MATCH(D173,'Catálogo de amenazas'!$A$5:$A$204,0)),"ID no encontrado"))</f>
        <v/>
      </c>
      <c r="F173" s="9"/>
      <c r="G173" s="11" t="str">
        <f aca="false">IF(F173="","",IFERROR(INDEX('Catálogo de vulnerabilidades'!$B$5:$B$204,MATCH(F173,'Catálogo de vulnerabilidades'!$A$5:$A$204,0)),"ID no encontrado"))</f>
        <v/>
      </c>
      <c r="H173" s="8"/>
      <c r="I173" s="9"/>
      <c r="J173" s="8"/>
      <c r="K173" s="8"/>
      <c r="L173" s="9"/>
      <c r="M173" s="9"/>
      <c r="N173" s="12" t="str">
        <f aca="false">IF(OR(L173="",M173=""),"",L173*M173)</f>
        <v/>
      </c>
      <c r="O173" s="13" t="str">
        <f aca="false">IF(N173="","",IF(N173&gt;=Escalas!$A$24,"Crítico",IF(N173&gt;=Escalas!$A$23,"Alto",IF(N173&gt;=Escalas!$A$22,"Medio","Bajo"))))</f>
        <v/>
      </c>
      <c r="P173" s="9"/>
      <c r="Q173" s="9"/>
      <c r="R173" s="9"/>
      <c r="S173" s="12" t="str">
        <f aca="false">IF(OR(Q173="",R173=""),"",Q173*R173)</f>
        <v/>
      </c>
      <c r="T173" s="13" t="str">
        <f aca="false">IF(S173="","",IF(S173&gt;=Escalas!$A$24,"Crítico",IF(S173&gt;=Escalas!$A$23,"Alto",IF(S173&gt;=Escalas!$A$22,"Medio","Bajo"))))</f>
        <v/>
      </c>
      <c r="U173" s="13" t="str">
        <f aca="false">IF(S173="","",IF(S173&lt;=Escalas!$D$28,"Sí","No — requiere aprobación"))</f>
        <v/>
      </c>
      <c r="V173" s="9"/>
    </row>
    <row r="174" customFormat="false" ht="15" hidden="false" customHeight="false" outlineLevel="0" collapsed="false">
      <c r="A174" s="9"/>
      <c r="B174" s="9"/>
      <c r="C174" s="11" t="str">
        <f aca="false">IF(B174="","",IFERROR(INDEX('Inventario de activos'!$B$5:$B$204,MATCH(B174,'Inventario de activos'!$A$5:$A$204,0)),"ID no encontrado"))</f>
        <v/>
      </c>
      <c r="D174" s="9"/>
      <c r="E174" s="11" t="str">
        <f aca="false">IF(D174="","",IFERROR(INDEX('Catálogo de amenazas'!$B$5:$B$204,MATCH(D174,'Catálogo de amenazas'!$A$5:$A$204,0)),"ID no encontrado"))</f>
        <v/>
      </c>
      <c r="F174" s="9"/>
      <c r="G174" s="11" t="str">
        <f aca="false">IF(F174="","",IFERROR(INDEX('Catálogo de vulnerabilidades'!$B$5:$B$204,MATCH(F174,'Catálogo de vulnerabilidades'!$A$5:$A$204,0)),"ID no encontrado"))</f>
        <v/>
      </c>
      <c r="H174" s="8"/>
      <c r="I174" s="9"/>
      <c r="J174" s="8"/>
      <c r="K174" s="8"/>
      <c r="L174" s="9"/>
      <c r="M174" s="9"/>
      <c r="N174" s="12" t="str">
        <f aca="false">IF(OR(L174="",M174=""),"",L174*M174)</f>
        <v/>
      </c>
      <c r="O174" s="13" t="str">
        <f aca="false">IF(N174="","",IF(N174&gt;=Escalas!$A$24,"Crítico",IF(N174&gt;=Escalas!$A$23,"Alto",IF(N174&gt;=Escalas!$A$22,"Medio","Bajo"))))</f>
        <v/>
      </c>
      <c r="P174" s="9"/>
      <c r="Q174" s="9"/>
      <c r="R174" s="9"/>
      <c r="S174" s="12" t="str">
        <f aca="false">IF(OR(Q174="",R174=""),"",Q174*R174)</f>
        <v/>
      </c>
      <c r="T174" s="13" t="str">
        <f aca="false">IF(S174="","",IF(S174&gt;=Escalas!$A$24,"Crítico",IF(S174&gt;=Escalas!$A$23,"Alto",IF(S174&gt;=Escalas!$A$22,"Medio","Bajo"))))</f>
        <v/>
      </c>
      <c r="U174" s="13" t="str">
        <f aca="false">IF(S174="","",IF(S174&lt;=Escalas!$D$28,"Sí","No — requiere aprobación"))</f>
        <v/>
      </c>
      <c r="V174" s="9"/>
    </row>
    <row r="175" customFormat="false" ht="15" hidden="false" customHeight="false" outlineLevel="0" collapsed="false">
      <c r="A175" s="9"/>
      <c r="B175" s="9"/>
      <c r="C175" s="11" t="str">
        <f aca="false">IF(B175="","",IFERROR(INDEX('Inventario de activos'!$B$5:$B$204,MATCH(B175,'Inventario de activos'!$A$5:$A$204,0)),"ID no encontrado"))</f>
        <v/>
      </c>
      <c r="D175" s="9"/>
      <c r="E175" s="11" t="str">
        <f aca="false">IF(D175="","",IFERROR(INDEX('Catálogo de amenazas'!$B$5:$B$204,MATCH(D175,'Catálogo de amenazas'!$A$5:$A$204,0)),"ID no encontrado"))</f>
        <v/>
      </c>
      <c r="F175" s="9"/>
      <c r="G175" s="11" t="str">
        <f aca="false">IF(F175="","",IFERROR(INDEX('Catálogo de vulnerabilidades'!$B$5:$B$204,MATCH(F175,'Catálogo de vulnerabilidades'!$A$5:$A$204,0)),"ID no encontrado"))</f>
        <v/>
      </c>
      <c r="H175" s="8"/>
      <c r="I175" s="9"/>
      <c r="J175" s="8"/>
      <c r="K175" s="8"/>
      <c r="L175" s="9"/>
      <c r="M175" s="9"/>
      <c r="N175" s="12" t="str">
        <f aca="false">IF(OR(L175="",M175=""),"",L175*M175)</f>
        <v/>
      </c>
      <c r="O175" s="13" t="str">
        <f aca="false">IF(N175="","",IF(N175&gt;=Escalas!$A$24,"Crítico",IF(N175&gt;=Escalas!$A$23,"Alto",IF(N175&gt;=Escalas!$A$22,"Medio","Bajo"))))</f>
        <v/>
      </c>
      <c r="P175" s="9"/>
      <c r="Q175" s="9"/>
      <c r="R175" s="9"/>
      <c r="S175" s="12" t="str">
        <f aca="false">IF(OR(Q175="",R175=""),"",Q175*R175)</f>
        <v/>
      </c>
      <c r="T175" s="13" t="str">
        <f aca="false">IF(S175="","",IF(S175&gt;=Escalas!$A$24,"Crítico",IF(S175&gt;=Escalas!$A$23,"Alto",IF(S175&gt;=Escalas!$A$22,"Medio","Bajo"))))</f>
        <v/>
      </c>
      <c r="U175" s="13" t="str">
        <f aca="false">IF(S175="","",IF(S175&lt;=Escalas!$D$28,"Sí","No — requiere aprobación"))</f>
        <v/>
      </c>
      <c r="V175" s="9"/>
    </row>
    <row r="176" customFormat="false" ht="15" hidden="false" customHeight="false" outlineLevel="0" collapsed="false">
      <c r="A176" s="9"/>
      <c r="B176" s="9"/>
      <c r="C176" s="11" t="str">
        <f aca="false">IF(B176="","",IFERROR(INDEX('Inventario de activos'!$B$5:$B$204,MATCH(B176,'Inventario de activos'!$A$5:$A$204,0)),"ID no encontrado"))</f>
        <v/>
      </c>
      <c r="D176" s="9"/>
      <c r="E176" s="11" t="str">
        <f aca="false">IF(D176="","",IFERROR(INDEX('Catálogo de amenazas'!$B$5:$B$204,MATCH(D176,'Catálogo de amenazas'!$A$5:$A$204,0)),"ID no encontrado"))</f>
        <v/>
      </c>
      <c r="F176" s="9"/>
      <c r="G176" s="11" t="str">
        <f aca="false">IF(F176="","",IFERROR(INDEX('Catálogo de vulnerabilidades'!$B$5:$B$204,MATCH(F176,'Catálogo de vulnerabilidades'!$A$5:$A$204,0)),"ID no encontrado"))</f>
        <v/>
      </c>
      <c r="H176" s="8"/>
      <c r="I176" s="9"/>
      <c r="J176" s="8"/>
      <c r="K176" s="8"/>
      <c r="L176" s="9"/>
      <c r="M176" s="9"/>
      <c r="N176" s="12" t="str">
        <f aca="false">IF(OR(L176="",M176=""),"",L176*M176)</f>
        <v/>
      </c>
      <c r="O176" s="13" t="str">
        <f aca="false">IF(N176="","",IF(N176&gt;=Escalas!$A$24,"Crítico",IF(N176&gt;=Escalas!$A$23,"Alto",IF(N176&gt;=Escalas!$A$22,"Medio","Bajo"))))</f>
        <v/>
      </c>
      <c r="P176" s="9"/>
      <c r="Q176" s="9"/>
      <c r="R176" s="9"/>
      <c r="S176" s="12" t="str">
        <f aca="false">IF(OR(Q176="",R176=""),"",Q176*R176)</f>
        <v/>
      </c>
      <c r="T176" s="13" t="str">
        <f aca="false">IF(S176="","",IF(S176&gt;=Escalas!$A$24,"Crítico",IF(S176&gt;=Escalas!$A$23,"Alto",IF(S176&gt;=Escalas!$A$22,"Medio","Bajo"))))</f>
        <v/>
      </c>
      <c r="U176" s="13" t="str">
        <f aca="false">IF(S176="","",IF(S176&lt;=Escalas!$D$28,"Sí","No — requiere aprobación"))</f>
        <v/>
      </c>
      <c r="V176" s="9"/>
    </row>
    <row r="177" customFormat="false" ht="15" hidden="false" customHeight="false" outlineLevel="0" collapsed="false">
      <c r="A177" s="9"/>
      <c r="B177" s="9"/>
      <c r="C177" s="11" t="str">
        <f aca="false">IF(B177="","",IFERROR(INDEX('Inventario de activos'!$B$5:$B$204,MATCH(B177,'Inventario de activos'!$A$5:$A$204,0)),"ID no encontrado"))</f>
        <v/>
      </c>
      <c r="D177" s="9"/>
      <c r="E177" s="11" t="str">
        <f aca="false">IF(D177="","",IFERROR(INDEX('Catálogo de amenazas'!$B$5:$B$204,MATCH(D177,'Catálogo de amenazas'!$A$5:$A$204,0)),"ID no encontrado"))</f>
        <v/>
      </c>
      <c r="F177" s="9"/>
      <c r="G177" s="11" t="str">
        <f aca="false">IF(F177="","",IFERROR(INDEX('Catálogo de vulnerabilidades'!$B$5:$B$204,MATCH(F177,'Catálogo de vulnerabilidades'!$A$5:$A$204,0)),"ID no encontrado"))</f>
        <v/>
      </c>
      <c r="H177" s="8"/>
      <c r="I177" s="9"/>
      <c r="J177" s="8"/>
      <c r="K177" s="8"/>
      <c r="L177" s="9"/>
      <c r="M177" s="9"/>
      <c r="N177" s="12" t="str">
        <f aca="false">IF(OR(L177="",M177=""),"",L177*M177)</f>
        <v/>
      </c>
      <c r="O177" s="13" t="str">
        <f aca="false">IF(N177="","",IF(N177&gt;=Escalas!$A$24,"Crítico",IF(N177&gt;=Escalas!$A$23,"Alto",IF(N177&gt;=Escalas!$A$22,"Medio","Bajo"))))</f>
        <v/>
      </c>
      <c r="P177" s="9"/>
      <c r="Q177" s="9"/>
      <c r="R177" s="9"/>
      <c r="S177" s="12" t="str">
        <f aca="false">IF(OR(Q177="",R177=""),"",Q177*R177)</f>
        <v/>
      </c>
      <c r="T177" s="13" t="str">
        <f aca="false">IF(S177="","",IF(S177&gt;=Escalas!$A$24,"Crítico",IF(S177&gt;=Escalas!$A$23,"Alto",IF(S177&gt;=Escalas!$A$22,"Medio","Bajo"))))</f>
        <v/>
      </c>
      <c r="U177" s="13" t="str">
        <f aca="false">IF(S177="","",IF(S177&lt;=Escalas!$D$28,"Sí","No — requiere aprobación"))</f>
        <v/>
      </c>
      <c r="V177" s="9"/>
    </row>
    <row r="178" customFormat="false" ht="15" hidden="false" customHeight="false" outlineLevel="0" collapsed="false">
      <c r="A178" s="9"/>
      <c r="B178" s="9"/>
      <c r="C178" s="11" t="str">
        <f aca="false">IF(B178="","",IFERROR(INDEX('Inventario de activos'!$B$5:$B$204,MATCH(B178,'Inventario de activos'!$A$5:$A$204,0)),"ID no encontrado"))</f>
        <v/>
      </c>
      <c r="D178" s="9"/>
      <c r="E178" s="11" t="str">
        <f aca="false">IF(D178="","",IFERROR(INDEX('Catálogo de amenazas'!$B$5:$B$204,MATCH(D178,'Catálogo de amenazas'!$A$5:$A$204,0)),"ID no encontrado"))</f>
        <v/>
      </c>
      <c r="F178" s="9"/>
      <c r="G178" s="11" t="str">
        <f aca="false">IF(F178="","",IFERROR(INDEX('Catálogo de vulnerabilidades'!$B$5:$B$204,MATCH(F178,'Catálogo de vulnerabilidades'!$A$5:$A$204,0)),"ID no encontrado"))</f>
        <v/>
      </c>
      <c r="H178" s="8"/>
      <c r="I178" s="9"/>
      <c r="J178" s="8"/>
      <c r="K178" s="8"/>
      <c r="L178" s="9"/>
      <c r="M178" s="9"/>
      <c r="N178" s="12" t="str">
        <f aca="false">IF(OR(L178="",M178=""),"",L178*M178)</f>
        <v/>
      </c>
      <c r="O178" s="13" t="str">
        <f aca="false">IF(N178="","",IF(N178&gt;=Escalas!$A$24,"Crítico",IF(N178&gt;=Escalas!$A$23,"Alto",IF(N178&gt;=Escalas!$A$22,"Medio","Bajo"))))</f>
        <v/>
      </c>
      <c r="P178" s="9"/>
      <c r="Q178" s="9"/>
      <c r="R178" s="9"/>
      <c r="S178" s="12" t="str">
        <f aca="false">IF(OR(Q178="",R178=""),"",Q178*R178)</f>
        <v/>
      </c>
      <c r="T178" s="13" t="str">
        <f aca="false">IF(S178="","",IF(S178&gt;=Escalas!$A$24,"Crítico",IF(S178&gt;=Escalas!$A$23,"Alto",IF(S178&gt;=Escalas!$A$22,"Medio","Bajo"))))</f>
        <v/>
      </c>
      <c r="U178" s="13" t="str">
        <f aca="false">IF(S178="","",IF(S178&lt;=Escalas!$D$28,"Sí","No — requiere aprobación"))</f>
        <v/>
      </c>
      <c r="V178" s="9"/>
    </row>
    <row r="179" customFormat="false" ht="15" hidden="false" customHeight="false" outlineLevel="0" collapsed="false">
      <c r="A179" s="9"/>
      <c r="B179" s="9"/>
      <c r="C179" s="11" t="str">
        <f aca="false">IF(B179="","",IFERROR(INDEX('Inventario de activos'!$B$5:$B$204,MATCH(B179,'Inventario de activos'!$A$5:$A$204,0)),"ID no encontrado"))</f>
        <v/>
      </c>
      <c r="D179" s="9"/>
      <c r="E179" s="11" t="str">
        <f aca="false">IF(D179="","",IFERROR(INDEX('Catálogo de amenazas'!$B$5:$B$204,MATCH(D179,'Catálogo de amenazas'!$A$5:$A$204,0)),"ID no encontrado"))</f>
        <v/>
      </c>
      <c r="F179" s="9"/>
      <c r="G179" s="11" t="str">
        <f aca="false">IF(F179="","",IFERROR(INDEX('Catálogo de vulnerabilidades'!$B$5:$B$204,MATCH(F179,'Catálogo de vulnerabilidades'!$A$5:$A$204,0)),"ID no encontrado"))</f>
        <v/>
      </c>
      <c r="H179" s="8"/>
      <c r="I179" s="9"/>
      <c r="J179" s="8"/>
      <c r="K179" s="8"/>
      <c r="L179" s="9"/>
      <c r="M179" s="9"/>
      <c r="N179" s="12" t="str">
        <f aca="false">IF(OR(L179="",M179=""),"",L179*M179)</f>
        <v/>
      </c>
      <c r="O179" s="13" t="str">
        <f aca="false">IF(N179="","",IF(N179&gt;=Escalas!$A$24,"Crítico",IF(N179&gt;=Escalas!$A$23,"Alto",IF(N179&gt;=Escalas!$A$22,"Medio","Bajo"))))</f>
        <v/>
      </c>
      <c r="P179" s="9"/>
      <c r="Q179" s="9"/>
      <c r="R179" s="9"/>
      <c r="S179" s="12" t="str">
        <f aca="false">IF(OR(Q179="",R179=""),"",Q179*R179)</f>
        <v/>
      </c>
      <c r="T179" s="13" t="str">
        <f aca="false">IF(S179="","",IF(S179&gt;=Escalas!$A$24,"Crítico",IF(S179&gt;=Escalas!$A$23,"Alto",IF(S179&gt;=Escalas!$A$22,"Medio","Bajo"))))</f>
        <v/>
      </c>
      <c r="U179" s="13" t="str">
        <f aca="false">IF(S179="","",IF(S179&lt;=Escalas!$D$28,"Sí","No — requiere aprobación"))</f>
        <v/>
      </c>
      <c r="V179" s="9"/>
    </row>
    <row r="180" customFormat="false" ht="15" hidden="false" customHeight="false" outlineLevel="0" collapsed="false">
      <c r="A180" s="9"/>
      <c r="B180" s="9"/>
      <c r="C180" s="11" t="str">
        <f aca="false">IF(B180="","",IFERROR(INDEX('Inventario de activos'!$B$5:$B$204,MATCH(B180,'Inventario de activos'!$A$5:$A$204,0)),"ID no encontrado"))</f>
        <v/>
      </c>
      <c r="D180" s="9"/>
      <c r="E180" s="11" t="str">
        <f aca="false">IF(D180="","",IFERROR(INDEX('Catálogo de amenazas'!$B$5:$B$204,MATCH(D180,'Catálogo de amenazas'!$A$5:$A$204,0)),"ID no encontrado"))</f>
        <v/>
      </c>
      <c r="F180" s="9"/>
      <c r="G180" s="11" t="str">
        <f aca="false">IF(F180="","",IFERROR(INDEX('Catálogo de vulnerabilidades'!$B$5:$B$204,MATCH(F180,'Catálogo de vulnerabilidades'!$A$5:$A$204,0)),"ID no encontrado"))</f>
        <v/>
      </c>
      <c r="H180" s="8"/>
      <c r="I180" s="9"/>
      <c r="J180" s="8"/>
      <c r="K180" s="8"/>
      <c r="L180" s="9"/>
      <c r="M180" s="9"/>
      <c r="N180" s="12" t="str">
        <f aca="false">IF(OR(L180="",M180=""),"",L180*M180)</f>
        <v/>
      </c>
      <c r="O180" s="13" t="str">
        <f aca="false">IF(N180="","",IF(N180&gt;=Escalas!$A$24,"Crítico",IF(N180&gt;=Escalas!$A$23,"Alto",IF(N180&gt;=Escalas!$A$22,"Medio","Bajo"))))</f>
        <v/>
      </c>
      <c r="P180" s="9"/>
      <c r="Q180" s="9"/>
      <c r="R180" s="9"/>
      <c r="S180" s="12" t="str">
        <f aca="false">IF(OR(Q180="",R180=""),"",Q180*R180)</f>
        <v/>
      </c>
      <c r="T180" s="13" t="str">
        <f aca="false">IF(S180="","",IF(S180&gt;=Escalas!$A$24,"Crítico",IF(S180&gt;=Escalas!$A$23,"Alto",IF(S180&gt;=Escalas!$A$22,"Medio","Bajo"))))</f>
        <v/>
      </c>
      <c r="U180" s="13" t="str">
        <f aca="false">IF(S180="","",IF(S180&lt;=Escalas!$D$28,"Sí","No — requiere aprobación"))</f>
        <v/>
      </c>
      <c r="V180" s="9"/>
    </row>
    <row r="181" customFormat="false" ht="15" hidden="false" customHeight="false" outlineLevel="0" collapsed="false">
      <c r="A181" s="9"/>
      <c r="B181" s="9"/>
      <c r="C181" s="11" t="str">
        <f aca="false">IF(B181="","",IFERROR(INDEX('Inventario de activos'!$B$5:$B$204,MATCH(B181,'Inventario de activos'!$A$5:$A$204,0)),"ID no encontrado"))</f>
        <v/>
      </c>
      <c r="D181" s="9"/>
      <c r="E181" s="11" t="str">
        <f aca="false">IF(D181="","",IFERROR(INDEX('Catálogo de amenazas'!$B$5:$B$204,MATCH(D181,'Catálogo de amenazas'!$A$5:$A$204,0)),"ID no encontrado"))</f>
        <v/>
      </c>
      <c r="F181" s="9"/>
      <c r="G181" s="11" t="str">
        <f aca="false">IF(F181="","",IFERROR(INDEX('Catálogo de vulnerabilidades'!$B$5:$B$204,MATCH(F181,'Catálogo de vulnerabilidades'!$A$5:$A$204,0)),"ID no encontrado"))</f>
        <v/>
      </c>
      <c r="H181" s="8"/>
      <c r="I181" s="9"/>
      <c r="J181" s="8"/>
      <c r="K181" s="8"/>
      <c r="L181" s="9"/>
      <c r="M181" s="9"/>
      <c r="N181" s="12" t="str">
        <f aca="false">IF(OR(L181="",M181=""),"",L181*M181)</f>
        <v/>
      </c>
      <c r="O181" s="13" t="str">
        <f aca="false">IF(N181="","",IF(N181&gt;=Escalas!$A$24,"Crítico",IF(N181&gt;=Escalas!$A$23,"Alto",IF(N181&gt;=Escalas!$A$22,"Medio","Bajo"))))</f>
        <v/>
      </c>
      <c r="P181" s="9"/>
      <c r="Q181" s="9"/>
      <c r="R181" s="9"/>
      <c r="S181" s="12" t="str">
        <f aca="false">IF(OR(Q181="",R181=""),"",Q181*R181)</f>
        <v/>
      </c>
      <c r="T181" s="13" t="str">
        <f aca="false">IF(S181="","",IF(S181&gt;=Escalas!$A$24,"Crítico",IF(S181&gt;=Escalas!$A$23,"Alto",IF(S181&gt;=Escalas!$A$22,"Medio","Bajo"))))</f>
        <v/>
      </c>
      <c r="U181" s="13" t="str">
        <f aca="false">IF(S181="","",IF(S181&lt;=Escalas!$D$28,"Sí","No — requiere aprobación"))</f>
        <v/>
      </c>
      <c r="V181" s="9"/>
    </row>
    <row r="182" customFormat="false" ht="15" hidden="false" customHeight="false" outlineLevel="0" collapsed="false">
      <c r="A182" s="9"/>
      <c r="B182" s="9"/>
      <c r="C182" s="11" t="str">
        <f aca="false">IF(B182="","",IFERROR(INDEX('Inventario de activos'!$B$5:$B$204,MATCH(B182,'Inventario de activos'!$A$5:$A$204,0)),"ID no encontrado"))</f>
        <v/>
      </c>
      <c r="D182" s="9"/>
      <c r="E182" s="11" t="str">
        <f aca="false">IF(D182="","",IFERROR(INDEX('Catálogo de amenazas'!$B$5:$B$204,MATCH(D182,'Catálogo de amenazas'!$A$5:$A$204,0)),"ID no encontrado"))</f>
        <v/>
      </c>
      <c r="F182" s="9"/>
      <c r="G182" s="11" t="str">
        <f aca="false">IF(F182="","",IFERROR(INDEX('Catálogo de vulnerabilidades'!$B$5:$B$204,MATCH(F182,'Catálogo de vulnerabilidades'!$A$5:$A$204,0)),"ID no encontrado"))</f>
        <v/>
      </c>
      <c r="H182" s="8"/>
      <c r="I182" s="9"/>
      <c r="J182" s="8"/>
      <c r="K182" s="8"/>
      <c r="L182" s="9"/>
      <c r="M182" s="9"/>
      <c r="N182" s="12" t="str">
        <f aca="false">IF(OR(L182="",M182=""),"",L182*M182)</f>
        <v/>
      </c>
      <c r="O182" s="13" t="str">
        <f aca="false">IF(N182="","",IF(N182&gt;=Escalas!$A$24,"Crítico",IF(N182&gt;=Escalas!$A$23,"Alto",IF(N182&gt;=Escalas!$A$22,"Medio","Bajo"))))</f>
        <v/>
      </c>
      <c r="P182" s="9"/>
      <c r="Q182" s="9"/>
      <c r="R182" s="9"/>
      <c r="S182" s="12" t="str">
        <f aca="false">IF(OR(Q182="",R182=""),"",Q182*R182)</f>
        <v/>
      </c>
      <c r="T182" s="13" t="str">
        <f aca="false">IF(S182="","",IF(S182&gt;=Escalas!$A$24,"Crítico",IF(S182&gt;=Escalas!$A$23,"Alto",IF(S182&gt;=Escalas!$A$22,"Medio","Bajo"))))</f>
        <v/>
      </c>
      <c r="U182" s="13" t="str">
        <f aca="false">IF(S182="","",IF(S182&lt;=Escalas!$D$28,"Sí","No — requiere aprobación"))</f>
        <v/>
      </c>
      <c r="V182" s="9"/>
    </row>
    <row r="183" customFormat="false" ht="15" hidden="false" customHeight="false" outlineLevel="0" collapsed="false">
      <c r="A183" s="9"/>
      <c r="B183" s="9"/>
      <c r="C183" s="11" t="str">
        <f aca="false">IF(B183="","",IFERROR(INDEX('Inventario de activos'!$B$5:$B$204,MATCH(B183,'Inventario de activos'!$A$5:$A$204,0)),"ID no encontrado"))</f>
        <v/>
      </c>
      <c r="D183" s="9"/>
      <c r="E183" s="11" t="str">
        <f aca="false">IF(D183="","",IFERROR(INDEX('Catálogo de amenazas'!$B$5:$B$204,MATCH(D183,'Catálogo de amenazas'!$A$5:$A$204,0)),"ID no encontrado"))</f>
        <v/>
      </c>
      <c r="F183" s="9"/>
      <c r="G183" s="11" t="str">
        <f aca="false">IF(F183="","",IFERROR(INDEX('Catálogo de vulnerabilidades'!$B$5:$B$204,MATCH(F183,'Catálogo de vulnerabilidades'!$A$5:$A$204,0)),"ID no encontrado"))</f>
        <v/>
      </c>
      <c r="H183" s="8"/>
      <c r="I183" s="9"/>
      <c r="J183" s="8"/>
      <c r="K183" s="8"/>
      <c r="L183" s="9"/>
      <c r="M183" s="9"/>
      <c r="N183" s="12" t="str">
        <f aca="false">IF(OR(L183="",M183=""),"",L183*M183)</f>
        <v/>
      </c>
      <c r="O183" s="13" t="str">
        <f aca="false">IF(N183="","",IF(N183&gt;=Escalas!$A$24,"Crítico",IF(N183&gt;=Escalas!$A$23,"Alto",IF(N183&gt;=Escalas!$A$22,"Medio","Bajo"))))</f>
        <v/>
      </c>
      <c r="P183" s="9"/>
      <c r="Q183" s="9"/>
      <c r="R183" s="9"/>
      <c r="S183" s="12" t="str">
        <f aca="false">IF(OR(Q183="",R183=""),"",Q183*R183)</f>
        <v/>
      </c>
      <c r="T183" s="13" t="str">
        <f aca="false">IF(S183="","",IF(S183&gt;=Escalas!$A$24,"Crítico",IF(S183&gt;=Escalas!$A$23,"Alto",IF(S183&gt;=Escalas!$A$22,"Medio","Bajo"))))</f>
        <v/>
      </c>
      <c r="U183" s="13" t="str">
        <f aca="false">IF(S183="","",IF(S183&lt;=Escalas!$D$28,"Sí","No — requiere aprobación"))</f>
        <v/>
      </c>
      <c r="V183" s="9"/>
    </row>
    <row r="184" customFormat="false" ht="15" hidden="false" customHeight="false" outlineLevel="0" collapsed="false">
      <c r="A184" s="9"/>
      <c r="B184" s="9"/>
      <c r="C184" s="11" t="str">
        <f aca="false">IF(B184="","",IFERROR(INDEX('Inventario de activos'!$B$5:$B$204,MATCH(B184,'Inventario de activos'!$A$5:$A$204,0)),"ID no encontrado"))</f>
        <v/>
      </c>
      <c r="D184" s="9"/>
      <c r="E184" s="11" t="str">
        <f aca="false">IF(D184="","",IFERROR(INDEX('Catálogo de amenazas'!$B$5:$B$204,MATCH(D184,'Catálogo de amenazas'!$A$5:$A$204,0)),"ID no encontrado"))</f>
        <v/>
      </c>
      <c r="F184" s="9"/>
      <c r="G184" s="11" t="str">
        <f aca="false">IF(F184="","",IFERROR(INDEX('Catálogo de vulnerabilidades'!$B$5:$B$204,MATCH(F184,'Catálogo de vulnerabilidades'!$A$5:$A$204,0)),"ID no encontrado"))</f>
        <v/>
      </c>
      <c r="H184" s="8"/>
      <c r="I184" s="9"/>
      <c r="J184" s="8"/>
      <c r="K184" s="8"/>
      <c r="L184" s="9"/>
      <c r="M184" s="9"/>
      <c r="N184" s="12" t="str">
        <f aca="false">IF(OR(L184="",M184=""),"",L184*M184)</f>
        <v/>
      </c>
      <c r="O184" s="13" t="str">
        <f aca="false">IF(N184="","",IF(N184&gt;=Escalas!$A$24,"Crítico",IF(N184&gt;=Escalas!$A$23,"Alto",IF(N184&gt;=Escalas!$A$22,"Medio","Bajo"))))</f>
        <v/>
      </c>
      <c r="P184" s="9"/>
      <c r="Q184" s="9"/>
      <c r="R184" s="9"/>
      <c r="S184" s="12" t="str">
        <f aca="false">IF(OR(Q184="",R184=""),"",Q184*R184)</f>
        <v/>
      </c>
      <c r="T184" s="13" t="str">
        <f aca="false">IF(S184="","",IF(S184&gt;=Escalas!$A$24,"Crítico",IF(S184&gt;=Escalas!$A$23,"Alto",IF(S184&gt;=Escalas!$A$22,"Medio","Bajo"))))</f>
        <v/>
      </c>
      <c r="U184" s="13" t="str">
        <f aca="false">IF(S184="","",IF(S184&lt;=Escalas!$D$28,"Sí","No — requiere aprobación"))</f>
        <v/>
      </c>
      <c r="V184" s="9"/>
    </row>
    <row r="185" customFormat="false" ht="15" hidden="false" customHeight="false" outlineLevel="0" collapsed="false">
      <c r="A185" s="9"/>
      <c r="B185" s="9"/>
      <c r="C185" s="11" t="str">
        <f aca="false">IF(B185="","",IFERROR(INDEX('Inventario de activos'!$B$5:$B$204,MATCH(B185,'Inventario de activos'!$A$5:$A$204,0)),"ID no encontrado"))</f>
        <v/>
      </c>
      <c r="D185" s="9"/>
      <c r="E185" s="11" t="str">
        <f aca="false">IF(D185="","",IFERROR(INDEX('Catálogo de amenazas'!$B$5:$B$204,MATCH(D185,'Catálogo de amenazas'!$A$5:$A$204,0)),"ID no encontrado"))</f>
        <v/>
      </c>
      <c r="F185" s="9"/>
      <c r="G185" s="11" t="str">
        <f aca="false">IF(F185="","",IFERROR(INDEX('Catálogo de vulnerabilidades'!$B$5:$B$204,MATCH(F185,'Catálogo de vulnerabilidades'!$A$5:$A$204,0)),"ID no encontrado"))</f>
        <v/>
      </c>
      <c r="H185" s="8"/>
      <c r="I185" s="9"/>
      <c r="J185" s="8"/>
      <c r="K185" s="8"/>
      <c r="L185" s="9"/>
      <c r="M185" s="9"/>
      <c r="N185" s="12" t="str">
        <f aca="false">IF(OR(L185="",M185=""),"",L185*M185)</f>
        <v/>
      </c>
      <c r="O185" s="13" t="str">
        <f aca="false">IF(N185="","",IF(N185&gt;=Escalas!$A$24,"Crítico",IF(N185&gt;=Escalas!$A$23,"Alto",IF(N185&gt;=Escalas!$A$22,"Medio","Bajo"))))</f>
        <v/>
      </c>
      <c r="P185" s="9"/>
      <c r="Q185" s="9"/>
      <c r="R185" s="9"/>
      <c r="S185" s="12" t="str">
        <f aca="false">IF(OR(Q185="",R185=""),"",Q185*R185)</f>
        <v/>
      </c>
      <c r="T185" s="13" t="str">
        <f aca="false">IF(S185="","",IF(S185&gt;=Escalas!$A$24,"Crítico",IF(S185&gt;=Escalas!$A$23,"Alto",IF(S185&gt;=Escalas!$A$22,"Medio","Bajo"))))</f>
        <v/>
      </c>
      <c r="U185" s="13" t="str">
        <f aca="false">IF(S185="","",IF(S185&lt;=Escalas!$D$28,"Sí","No — requiere aprobación"))</f>
        <v/>
      </c>
      <c r="V185" s="9"/>
    </row>
    <row r="186" customFormat="false" ht="15" hidden="false" customHeight="false" outlineLevel="0" collapsed="false">
      <c r="A186" s="9"/>
      <c r="B186" s="9"/>
      <c r="C186" s="11" t="str">
        <f aca="false">IF(B186="","",IFERROR(INDEX('Inventario de activos'!$B$5:$B$204,MATCH(B186,'Inventario de activos'!$A$5:$A$204,0)),"ID no encontrado"))</f>
        <v/>
      </c>
      <c r="D186" s="9"/>
      <c r="E186" s="11" t="str">
        <f aca="false">IF(D186="","",IFERROR(INDEX('Catálogo de amenazas'!$B$5:$B$204,MATCH(D186,'Catálogo de amenazas'!$A$5:$A$204,0)),"ID no encontrado"))</f>
        <v/>
      </c>
      <c r="F186" s="9"/>
      <c r="G186" s="11" t="str">
        <f aca="false">IF(F186="","",IFERROR(INDEX('Catálogo de vulnerabilidades'!$B$5:$B$204,MATCH(F186,'Catálogo de vulnerabilidades'!$A$5:$A$204,0)),"ID no encontrado"))</f>
        <v/>
      </c>
      <c r="H186" s="8"/>
      <c r="I186" s="9"/>
      <c r="J186" s="8"/>
      <c r="K186" s="8"/>
      <c r="L186" s="9"/>
      <c r="M186" s="9"/>
      <c r="N186" s="12" t="str">
        <f aca="false">IF(OR(L186="",M186=""),"",L186*M186)</f>
        <v/>
      </c>
      <c r="O186" s="13" t="str">
        <f aca="false">IF(N186="","",IF(N186&gt;=Escalas!$A$24,"Crítico",IF(N186&gt;=Escalas!$A$23,"Alto",IF(N186&gt;=Escalas!$A$22,"Medio","Bajo"))))</f>
        <v/>
      </c>
      <c r="P186" s="9"/>
      <c r="Q186" s="9"/>
      <c r="R186" s="9"/>
      <c r="S186" s="12" t="str">
        <f aca="false">IF(OR(Q186="",R186=""),"",Q186*R186)</f>
        <v/>
      </c>
      <c r="T186" s="13" t="str">
        <f aca="false">IF(S186="","",IF(S186&gt;=Escalas!$A$24,"Crítico",IF(S186&gt;=Escalas!$A$23,"Alto",IF(S186&gt;=Escalas!$A$22,"Medio","Bajo"))))</f>
        <v/>
      </c>
      <c r="U186" s="13" t="str">
        <f aca="false">IF(S186="","",IF(S186&lt;=Escalas!$D$28,"Sí","No — requiere aprobación"))</f>
        <v/>
      </c>
      <c r="V186" s="9"/>
    </row>
    <row r="187" customFormat="false" ht="15" hidden="false" customHeight="false" outlineLevel="0" collapsed="false">
      <c r="A187" s="9"/>
      <c r="B187" s="9"/>
      <c r="C187" s="11" t="str">
        <f aca="false">IF(B187="","",IFERROR(INDEX('Inventario de activos'!$B$5:$B$204,MATCH(B187,'Inventario de activos'!$A$5:$A$204,0)),"ID no encontrado"))</f>
        <v/>
      </c>
      <c r="D187" s="9"/>
      <c r="E187" s="11" t="str">
        <f aca="false">IF(D187="","",IFERROR(INDEX('Catálogo de amenazas'!$B$5:$B$204,MATCH(D187,'Catálogo de amenazas'!$A$5:$A$204,0)),"ID no encontrado"))</f>
        <v/>
      </c>
      <c r="F187" s="9"/>
      <c r="G187" s="11" t="str">
        <f aca="false">IF(F187="","",IFERROR(INDEX('Catálogo de vulnerabilidades'!$B$5:$B$204,MATCH(F187,'Catálogo de vulnerabilidades'!$A$5:$A$204,0)),"ID no encontrado"))</f>
        <v/>
      </c>
      <c r="H187" s="8"/>
      <c r="I187" s="9"/>
      <c r="J187" s="8"/>
      <c r="K187" s="8"/>
      <c r="L187" s="9"/>
      <c r="M187" s="9"/>
      <c r="N187" s="12" t="str">
        <f aca="false">IF(OR(L187="",M187=""),"",L187*M187)</f>
        <v/>
      </c>
      <c r="O187" s="13" t="str">
        <f aca="false">IF(N187="","",IF(N187&gt;=Escalas!$A$24,"Crítico",IF(N187&gt;=Escalas!$A$23,"Alto",IF(N187&gt;=Escalas!$A$22,"Medio","Bajo"))))</f>
        <v/>
      </c>
      <c r="P187" s="9"/>
      <c r="Q187" s="9"/>
      <c r="R187" s="9"/>
      <c r="S187" s="12" t="str">
        <f aca="false">IF(OR(Q187="",R187=""),"",Q187*R187)</f>
        <v/>
      </c>
      <c r="T187" s="13" t="str">
        <f aca="false">IF(S187="","",IF(S187&gt;=Escalas!$A$24,"Crítico",IF(S187&gt;=Escalas!$A$23,"Alto",IF(S187&gt;=Escalas!$A$22,"Medio","Bajo"))))</f>
        <v/>
      </c>
      <c r="U187" s="13" t="str">
        <f aca="false">IF(S187="","",IF(S187&lt;=Escalas!$D$28,"Sí","No — requiere aprobación"))</f>
        <v/>
      </c>
      <c r="V187" s="9"/>
    </row>
    <row r="188" customFormat="false" ht="15" hidden="false" customHeight="false" outlineLevel="0" collapsed="false">
      <c r="A188" s="9"/>
      <c r="B188" s="9"/>
      <c r="C188" s="11" t="str">
        <f aca="false">IF(B188="","",IFERROR(INDEX('Inventario de activos'!$B$5:$B$204,MATCH(B188,'Inventario de activos'!$A$5:$A$204,0)),"ID no encontrado"))</f>
        <v/>
      </c>
      <c r="D188" s="9"/>
      <c r="E188" s="11" t="str">
        <f aca="false">IF(D188="","",IFERROR(INDEX('Catálogo de amenazas'!$B$5:$B$204,MATCH(D188,'Catálogo de amenazas'!$A$5:$A$204,0)),"ID no encontrado"))</f>
        <v/>
      </c>
      <c r="F188" s="9"/>
      <c r="G188" s="11" t="str">
        <f aca="false">IF(F188="","",IFERROR(INDEX('Catálogo de vulnerabilidades'!$B$5:$B$204,MATCH(F188,'Catálogo de vulnerabilidades'!$A$5:$A$204,0)),"ID no encontrado"))</f>
        <v/>
      </c>
      <c r="H188" s="8"/>
      <c r="I188" s="9"/>
      <c r="J188" s="8"/>
      <c r="K188" s="8"/>
      <c r="L188" s="9"/>
      <c r="M188" s="9"/>
      <c r="N188" s="12" t="str">
        <f aca="false">IF(OR(L188="",M188=""),"",L188*M188)</f>
        <v/>
      </c>
      <c r="O188" s="13" t="str">
        <f aca="false">IF(N188="","",IF(N188&gt;=Escalas!$A$24,"Crítico",IF(N188&gt;=Escalas!$A$23,"Alto",IF(N188&gt;=Escalas!$A$22,"Medio","Bajo"))))</f>
        <v/>
      </c>
      <c r="P188" s="9"/>
      <c r="Q188" s="9"/>
      <c r="R188" s="9"/>
      <c r="S188" s="12" t="str">
        <f aca="false">IF(OR(Q188="",R188=""),"",Q188*R188)</f>
        <v/>
      </c>
      <c r="T188" s="13" t="str">
        <f aca="false">IF(S188="","",IF(S188&gt;=Escalas!$A$24,"Crítico",IF(S188&gt;=Escalas!$A$23,"Alto",IF(S188&gt;=Escalas!$A$22,"Medio","Bajo"))))</f>
        <v/>
      </c>
      <c r="U188" s="13" t="str">
        <f aca="false">IF(S188="","",IF(S188&lt;=Escalas!$D$28,"Sí","No — requiere aprobación"))</f>
        <v/>
      </c>
      <c r="V188" s="9"/>
    </row>
    <row r="189" customFormat="false" ht="15" hidden="false" customHeight="false" outlineLevel="0" collapsed="false">
      <c r="A189" s="9"/>
      <c r="B189" s="9"/>
      <c r="C189" s="11" t="str">
        <f aca="false">IF(B189="","",IFERROR(INDEX('Inventario de activos'!$B$5:$B$204,MATCH(B189,'Inventario de activos'!$A$5:$A$204,0)),"ID no encontrado"))</f>
        <v/>
      </c>
      <c r="D189" s="9"/>
      <c r="E189" s="11" t="str">
        <f aca="false">IF(D189="","",IFERROR(INDEX('Catálogo de amenazas'!$B$5:$B$204,MATCH(D189,'Catálogo de amenazas'!$A$5:$A$204,0)),"ID no encontrado"))</f>
        <v/>
      </c>
      <c r="F189" s="9"/>
      <c r="G189" s="11" t="str">
        <f aca="false">IF(F189="","",IFERROR(INDEX('Catálogo de vulnerabilidades'!$B$5:$B$204,MATCH(F189,'Catálogo de vulnerabilidades'!$A$5:$A$204,0)),"ID no encontrado"))</f>
        <v/>
      </c>
      <c r="H189" s="8"/>
      <c r="I189" s="9"/>
      <c r="J189" s="8"/>
      <c r="K189" s="8"/>
      <c r="L189" s="9"/>
      <c r="M189" s="9"/>
      <c r="N189" s="12" t="str">
        <f aca="false">IF(OR(L189="",M189=""),"",L189*M189)</f>
        <v/>
      </c>
      <c r="O189" s="13" t="str">
        <f aca="false">IF(N189="","",IF(N189&gt;=Escalas!$A$24,"Crítico",IF(N189&gt;=Escalas!$A$23,"Alto",IF(N189&gt;=Escalas!$A$22,"Medio","Bajo"))))</f>
        <v/>
      </c>
      <c r="P189" s="9"/>
      <c r="Q189" s="9"/>
      <c r="R189" s="9"/>
      <c r="S189" s="12" t="str">
        <f aca="false">IF(OR(Q189="",R189=""),"",Q189*R189)</f>
        <v/>
      </c>
      <c r="T189" s="13" t="str">
        <f aca="false">IF(S189="","",IF(S189&gt;=Escalas!$A$24,"Crítico",IF(S189&gt;=Escalas!$A$23,"Alto",IF(S189&gt;=Escalas!$A$22,"Medio","Bajo"))))</f>
        <v/>
      </c>
      <c r="U189" s="13" t="str">
        <f aca="false">IF(S189="","",IF(S189&lt;=Escalas!$D$28,"Sí","No — requiere aprobación"))</f>
        <v/>
      </c>
      <c r="V189" s="9"/>
    </row>
    <row r="190" customFormat="false" ht="15" hidden="false" customHeight="false" outlineLevel="0" collapsed="false">
      <c r="A190" s="9"/>
      <c r="B190" s="9"/>
      <c r="C190" s="11" t="str">
        <f aca="false">IF(B190="","",IFERROR(INDEX('Inventario de activos'!$B$5:$B$204,MATCH(B190,'Inventario de activos'!$A$5:$A$204,0)),"ID no encontrado"))</f>
        <v/>
      </c>
      <c r="D190" s="9"/>
      <c r="E190" s="11" t="str">
        <f aca="false">IF(D190="","",IFERROR(INDEX('Catálogo de amenazas'!$B$5:$B$204,MATCH(D190,'Catálogo de amenazas'!$A$5:$A$204,0)),"ID no encontrado"))</f>
        <v/>
      </c>
      <c r="F190" s="9"/>
      <c r="G190" s="11" t="str">
        <f aca="false">IF(F190="","",IFERROR(INDEX('Catálogo de vulnerabilidades'!$B$5:$B$204,MATCH(F190,'Catálogo de vulnerabilidades'!$A$5:$A$204,0)),"ID no encontrado"))</f>
        <v/>
      </c>
      <c r="H190" s="8"/>
      <c r="I190" s="9"/>
      <c r="J190" s="8"/>
      <c r="K190" s="8"/>
      <c r="L190" s="9"/>
      <c r="M190" s="9"/>
      <c r="N190" s="12" t="str">
        <f aca="false">IF(OR(L190="",M190=""),"",L190*M190)</f>
        <v/>
      </c>
      <c r="O190" s="13" t="str">
        <f aca="false">IF(N190="","",IF(N190&gt;=Escalas!$A$24,"Crítico",IF(N190&gt;=Escalas!$A$23,"Alto",IF(N190&gt;=Escalas!$A$22,"Medio","Bajo"))))</f>
        <v/>
      </c>
      <c r="P190" s="9"/>
      <c r="Q190" s="9"/>
      <c r="R190" s="9"/>
      <c r="S190" s="12" t="str">
        <f aca="false">IF(OR(Q190="",R190=""),"",Q190*R190)</f>
        <v/>
      </c>
      <c r="T190" s="13" t="str">
        <f aca="false">IF(S190="","",IF(S190&gt;=Escalas!$A$24,"Crítico",IF(S190&gt;=Escalas!$A$23,"Alto",IF(S190&gt;=Escalas!$A$22,"Medio","Bajo"))))</f>
        <v/>
      </c>
      <c r="U190" s="13" t="str">
        <f aca="false">IF(S190="","",IF(S190&lt;=Escalas!$D$28,"Sí","No — requiere aprobación"))</f>
        <v/>
      </c>
      <c r="V190" s="9"/>
    </row>
    <row r="191" customFormat="false" ht="15" hidden="false" customHeight="false" outlineLevel="0" collapsed="false">
      <c r="A191" s="9"/>
      <c r="B191" s="9"/>
      <c r="C191" s="11" t="str">
        <f aca="false">IF(B191="","",IFERROR(INDEX('Inventario de activos'!$B$5:$B$204,MATCH(B191,'Inventario de activos'!$A$5:$A$204,0)),"ID no encontrado"))</f>
        <v/>
      </c>
      <c r="D191" s="9"/>
      <c r="E191" s="11" t="str">
        <f aca="false">IF(D191="","",IFERROR(INDEX('Catálogo de amenazas'!$B$5:$B$204,MATCH(D191,'Catálogo de amenazas'!$A$5:$A$204,0)),"ID no encontrado"))</f>
        <v/>
      </c>
      <c r="F191" s="9"/>
      <c r="G191" s="11" t="str">
        <f aca="false">IF(F191="","",IFERROR(INDEX('Catálogo de vulnerabilidades'!$B$5:$B$204,MATCH(F191,'Catálogo de vulnerabilidades'!$A$5:$A$204,0)),"ID no encontrado"))</f>
        <v/>
      </c>
      <c r="H191" s="8"/>
      <c r="I191" s="9"/>
      <c r="J191" s="8"/>
      <c r="K191" s="8"/>
      <c r="L191" s="9"/>
      <c r="M191" s="9"/>
      <c r="N191" s="12" t="str">
        <f aca="false">IF(OR(L191="",M191=""),"",L191*M191)</f>
        <v/>
      </c>
      <c r="O191" s="13" t="str">
        <f aca="false">IF(N191="","",IF(N191&gt;=Escalas!$A$24,"Crítico",IF(N191&gt;=Escalas!$A$23,"Alto",IF(N191&gt;=Escalas!$A$22,"Medio","Bajo"))))</f>
        <v/>
      </c>
      <c r="P191" s="9"/>
      <c r="Q191" s="9"/>
      <c r="R191" s="9"/>
      <c r="S191" s="12" t="str">
        <f aca="false">IF(OR(Q191="",R191=""),"",Q191*R191)</f>
        <v/>
      </c>
      <c r="T191" s="13" t="str">
        <f aca="false">IF(S191="","",IF(S191&gt;=Escalas!$A$24,"Crítico",IF(S191&gt;=Escalas!$A$23,"Alto",IF(S191&gt;=Escalas!$A$22,"Medio","Bajo"))))</f>
        <v/>
      </c>
      <c r="U191" s="13" t="str">
        <f aca="false">IF(S191="","",IF(S191&lt;=Escalas!$D$28,"Sí","No — requiere aprobación"))</f>
        <v/>
      </c>
      <c r="V191" s="9"/>
    </row>
    <row r="192" customFormat="false" ht="15" hidden="false" customHeight="false" outlineLevel="0" collapsed="false">
      <c r="A192" s="9"/>
      <c r="B192" s="9"/>
      <c r="C192" s="11" t="str">
        <f aca="false">IF(B192="","",IFERROR(INDEX('Inventario de activos'!$B$5:$B$204,MATCH(B192,'Inventario de activos'!$A$5:$A$204,0)),"ID no encontrado"))</f>
        <v/>
      </c>
      <c r="D192" s="9"/>
      <c r="E192" s="11" t="str">
        <f aca="false">IF(D192="","",IFERROR(INDEX('Catálogo de amenazas'!$B$5:$B$204,MATCH(D192,'Catálogo de amenazas'!$A$5:$A$204,0)),"ID no encontrado"))</f>
        <v/>
      </c>
      <c r="F192" s="9"/>
      <c r="G192" s="11" t="str">
        <f aca="false">IF(F192="","",IFERROR(INDEX('Catálogo de vulnerabilidades'!$B$5:$B$204,MATCH(F192,'Catálogo de vulnerabilidades'!$A$5:$A$204,0)),"ID no encontrado"))</f>
        <v/>
      </c>
      <c r="H192" s="8"/>
      <c r="I192" s="9"/>
      <c r="J192" s="8"/>
      <c r="K192" s="8"/>
      <c r="L192" s="9"/>
      <c r="M192" s="9"/>
      <c r="N192" s="12" t="str">
        <f aca="false">IF(OR(L192="",M192=""),"",L192*M192)</f>
        <v/>
      </c>
      <c r="O192" s="13" t="str">
        <f aca="false">IF(N192="","",IF(N192&gt;=Escalas!$A$24,"Crítico",IF(N192&gt;=Escalas!$A$23,"Alto",IF(N192&gt;=Escalas!$A$22,"Medio","Bajo"))))</f>
        <v/>
      </c>
      <c r="P192" s="9"/>
      <c r="Q192" s="9"/>
      <c r="R192" s="9"/>
      <c r="S192" s="12" t="str">
        <f aca="false">IF(OR(Q192="",R192=""),"",Q192*R192)</f>
        <v/>
      </c>
      <c r="T192" s="13" t="str">
        <f aca="false">IF(S192="","",IF(S192&gt;=Escalas!$A$24,"Crítico",IF(S192&gt;=Escalas!$A$23,"Alto",IF(S192&gt;=Escalas!$A$22,"Medio","Bajo"))))</f>
        <v/>
      </c>
      <c r="U192" s="13" t="str">
        <f aca="false">IF(S192="","",IF(S192&lt;=Escalas!$D$28,"Sí","No — requiere aprobación"))</f>
        <v/>
      </c>
      <c r="V192" s="9"/>
    </row>
    <row r="193" customFormat="false" ht="15" hidden="false" customHeight="false" outlineLevel="0" collapsed="false">
      <c r="A193" s="9"/>
      <c r="B193" s="9"/>
      <c r="C193" s="11" t="str">
        <f aca="false">IF(B193="","",IFERROR(INDEX('Inventario de activos'!$B$5:$B$204,MATCH(B193,'Inventario de activos'!$A$5:$A$204,0)),"ID no encontrado"))</f>
        <v/>
      </c>
      <c r="D193" s="9"/>
      <c r="E193" s="11" t="str">
        <f aca="false">IF(D193="","",IFERROR(INDEX('Catálogo de amenazas'!$B$5:$B$204,MATCH(D193,'Catálogo de amenazas'!$A$5:$A$204,0)),"ID no encontrado"))</f>
        <v/>
      </c>
      <c r="F193" s="9"/>
      <c r="G193" s="11" t="str">
        <f aca="false">IF(F193="","",IFERROR(INDEX('Catálogo de vulnerabilidades'!$B$5:$B$204,MATCH(F193,'Catálogo de vulnerabilidades'!$A$5:$A$204,0)),"ID no encontrado"))</f>
        <v/>
      </c>
      <c r="H193" s="8"/>
      <c r="I193" s="9"/>
      <c r="J193" s="8"/>
      <c r="K193" s="8"/>
      <c r="L193" s="9"/>
      <c r="M193" s="9"/>
      <c r="N193" s="12" t="str">
        <f aca="false">IF(OR(L193="",M193=""),"",L193*M193)</f>
        <v/>
      </c>
      <c r="O193" s="13" t="str">
        <f aca="false">IF(N193="","",IF(N193&gt;=Escalas!$A$24,"Crítico",IF(N193&gt;=Escalas!$A$23,"Alto",IF(N193&gt;=Escalas!$A$22,"Medio","Bajo"))))</f>
        <v/>
      </c>
      <c r="P193" s="9"/>
      <c r="Q193" s="9"/>
      <c r="R193" s="9"/>
      <c r="S193" s="12" t="str">
        <f aca="false">IF(OR(Q193="",R193=""),"",Q193*R193)</f>
        <v/>
      </c>
      <c r="T193" s="13" t="str">
        <f aca="false">IF(S193="","",IF(S193&gt;=Escalas!$A$24,"Crítico",IF(S193&gt;=Escalas!$A$23,"Alto",IF(S193&gt;=Escalas!$A$22,"Medio","Bajo"))))</f>
        <v/>
      </c>
      <c r="U193" s="13" t="str">
        <f aca="false">IF(S193="","",IF(S193&lt;=Escalas!$D$28,"Sí","No — requiere aprobación"))</f>
        <v/>
      </c>
      <c r="V193" s="9"/>
    </row>
    <row r="194" customFormat="false" ht="15" hidden="false" customHeight="false" outlineLevel="0" collapsed="false">
      <c r="A194" s="9"/>
      <c r="B194" s="9"/>
      <c r="C194" s="11" t="str">
        <f aca="false">IF(B194="","",IFERROR(INDEX('Inventario de activos'!$B$5:$B$204,MATCH(B194,'Inventario de activos'!$A$5:$A$204,0)),"ID no encontrado"))</f>
        <v/>
      </c>
      <c r="D194" s="9"/>
      <c r="E194" s="11" t="str">
        <f aca="false">IF(D194="","",IFERROR(INDEX('Catálogo de amenazas'!$B$5:$B$204,MATCH(D194,'Catálogo de amenazas'!$A$5:$A$204,0)),"ID no encontrado"))</f>
        <v/>
      </c>
      <c r="F194" s="9"/>
      <c r="G194" s="11" t="str">
        <f aca="false">IF(F194="","",IFERROR(INDEX('Catálogo de vulnerabilidades'!$B$5:$B$204,MATCH(F194,'Catálogo de vulnerabilidades'!$A$5:$A$204,0)),"ID no encontrado"))</f>
        <v/>
      </c>
      <c r="H194" s="8"/>
      <c r="I194" s="9"/>
      <c r="J194" s="8"/>
      <c r="K194" s="8"/>
      <c r="L194" s="9"/>
      <c r="M194" s="9"/>
      <c r="N194" s="12" t="str">
        <f aca="false">IF(OR(L194="",M194=""),"",L194*M194)</f>
        <v/>
      </c>
      <c r="O194" s="13" t="str">
        <f aca="false">IF(N194="","",IF(N194&gt;=Escalas!$A$24,"Crítico",IF(N194&gt;=Escalas!$A$23,"Alto",IF(N194&gt;=Escalas!$A$22,"Medio","Bajo"))))</f>
        <v/>
      </c>
      <c r="P194" s="9"/>
      <c r="Q194" s="9"/>
      <c r="R194" s="9"/>
      <c r="S194" s="12" t="str">
        <f aca="false">IF(OR(Q194="",R194=""),"",Q194*R194)</f>
        <v/>
      </c>
      <c r="T194" s="13" t="str">
        <f aca="false">IF(S194="","",IF(S194&gt;=Escalas!$A$24,"Crítico",IF(S194&gt;=Escalas!$A$23,"Alto",IF(S194&gt;=Escalas!$A$22,"Medio","Bajo"))))</f>
        <v/>
      </c>
      <c r="U194" s="13" t="str">
        <f aca="false">IF(S194="","",IF(S194&lt;=Escalas!$D$28,"Sí","No — requiere aprobación"))</f>
        <v/>
      </c>
      <c r="V194" s="9"/>
    </row>
    <row r="195" customFormat="false" ht="15" hidden="false" customHeight="false" outlineLevel="0" collapsed="false">
      <c r="A195" s="9"/>
      <c r="B195" s="9"/>
      <c r="C195" s="11" t="str">
        <f aca="false">IF(B195="","",IFERROR(INDEX('Inventario de activos'!$B$5:$B$204,MATCH(B195,'Inventario de activos'!$A$5:$A$204,0)),"ID no encontrado"))</f>
        <v/>
      </c>
      <c r="D195" s="9"/>
      <c r="E195" s="11" t="str">
        <f aca="false">IF(D195="","",IFERROR(INDEX('Catálogo de amenazas'!$B$5:$B$204,MATCH(D195,'Catálogo de amenazas'!$A$5:$A$204,0)),"ID no encontrado"))</f>
        <v/>
      </c>
      <c r="F195" s="9"/>
      <c r="G195" s="11" t="str">
        <f aca="false">IF(F195="","",IFERROR(INDEX('Catálogo de vulnerabilidades'!$B$5:$B$204,MATCH(F195,'Catálogo de vulnerabilidades'!$A$5:$A$204,0)),"ID no encontrado"))</f>
        <v/>
      </c>
      <c r="H195" s="8"/>
      <c r="I195" s="9"/>
      <c r="J195" s="8"/>
      <c r="K195" s="8"/>
      <c r="L195" s="9"/>
      <c r="M195" s="9"/>
      <c r="N195" s="12" t="str">
        <f aca="false">IF(OR(L195="",M195=""),"",L195*M195)</f>
        <v/>
      </c>
      <c r="O195" s="13" t="str">
        <f aca="false">IF(N195="","",IF(N195&gt;=Escalas!$A$24,"Crítico",IF(N195&gt;=Escalas!$A$23,"Alto",IF(N195&gt;=Escalas!$A$22,"Medio","Bajo"))))</f>
        <v/>
      </c>
      <c r="P195" s="9"/>
      <c r="Q195" s="9"/>
      <c r="R195" s="9"/>
      <c r="S195" s="12" t="str">
        <f aca="false">IF(OR(Q195="",R195=""),"",Q195*R195)</f>
        <v/>
      </c>
      <c r="T195" s="13" t="str">
        <f aca="false">IF(S195="","",IF(S195&gt;=Escalas!$A$24,"Crítico",IF(S195&gt;=Escalas!$A$23,"Alto",IF(S195&gt;=Escalas!$A$22,"Medio","Bajo"))))</f>
        <v/>
      </c>
      <c r="U195" s="13" t="str">
        <f aca="false">IF(S195="","",IF(S195&lt;=Escalas!$D$28,"Sí","No — requiere aprobación"))</f>
        <v/>
      </c>
      <c r="V195" s="9"/>
    </row>
    <row r="196" customFormat="false" ht="15" hidden="false" customHeight="false" outlineLevel="0" collapsed="false">
      <c r="A196" s="9"/>
      <c r="B196" s="9"/>
      <c r="C196" s="11" t="str">
        <f aca="false">IF(B196="","",IFERROR(INDEX('Inventario de activos'!$B$5:$B$204,MATCH(B196,'Inventario de activos'!$A$5:$A$204,0)),"ID no encontrado"))</f>
        <v/>
      </c>
      <c r="D196" s="9"/>
      <c r="E196" s="11" t="str">
        <f aca="false">IF(D196="","",IFERROR(INDEX('Catálogo de amenazas'!$B$5:$B$204,MATCH(D196,'Catálogo de amenazas'!$A$5:$A$204,0)),"ID no encontrado"))</f>
        <v/>
      </c>
      <c r="F196" s="9"/>
      <c r="G196" s="11" t="str">
        <f aca="false">IF(F196="","",IFERROR(INDEX('Catálogo de vulnerabilidades'!$B$5:$B$204,MATCH(F196,'Catálogo de vulnerabilidades'!$A$5:$A$204,0)),"ID no encontrado"))</f>
        <v/>
      </c>
      <c r="H196" s="8"/>
      <c r="I196" s="9"/>
      <c r="J196" s="8"/>
      <c r="K196" s="8"/>
      <c r="L196" s="9"/>
      <c r="M196" s="9"/>
      <c r="N196" s="12" t="str">
        <f aca="false">IF(OR(L196="",M196=""),"",L196*M196)</f>
        <v/>
      </c>
      <c r="O196" s="13" t="str">
        <f aca="false">IF(N196="","",IF(N196&gt;=Escalas!$A$24,"Crítico",IF(N196&gt;=Escalas!$A$23,"Alto",IF(N196&gt;=Escalas!$A$22,"Medio","Bajo"))))</f>
        <v/>
      </c>
      <c r="P196" s="9"/>
      <c r="Q196" s="9"/>
      <c r="R196" s="9"/>
      <c r="S196" s="12" t="str">
        <f aca="false">IF(OR(Q196="",R196=""),"",Q196*R196)</f>
        <v/>
      </c>
      <c r="T196" s="13" t="str">
        <f aca="false">IF(S196="","",IF(S196&gt;=Escalas!$A$24,"Crítico",IF(S196&gt;=Escalas!$A$23,"Alto",IF(S196&gt;=Escalas!$A$22,"Medio","Bajo"))))</f>
        <v/>
      </c>
      <c r="U196" s="13" t="str">
        <f aca="false">IF(S196="","",IF(S196&lt;=Escalas!$D$28,"Sí","No — requiere aprobación"))</f>
        <v/>
      </c>
      <c r="V196" s="9"/>
    </row>
    <row r="197" customFormat="false" ht="15" hidden="false" customHeight="false" outlineLevel="0" collapsed="false">
      <c r="A197" s="9"/>
      <c r="B197" s="9"/>
      <c r="C197" s="11" t="str">
        <f aca="false">IF(B197="","",IFERROR(INDEX('Inventario de activos'!$B$5:$B$204,MATCH(B197,'Inventario de activos'!$A$5:$A$204,0)),"ID no encontrado"))</f>
        <v/>
      </c>
      <c r="D197" s="9"/>
      <c r="E197" s="11" t="str">
        <f aca="false">IF(D197="","",IFERROR(INDEX('Catálogo de amenazas'!$B$5:$B$204,MATCH(D197,'Catálogo de amenazas'!$A$5:$A$204,0)),"ID no encontrado"))</f>
        <v/>
      </c>
      <c r="F197" s="9"/>
      <c r="G197" s="11" t="str">
        <f aca="false">IF(F197="","",IFERROR(INDEX('Catálogo de vulnerabilidades'!$B$5:$B$204,MATCH(F197,'Catálogo de vulnerabilidades'!$A$5:$A$204,0)),"ID no encontrado"))</f>
        <v/>
      </c>
      <c r="H197" s="8"/>
      <c r="I197" s="9"/>
      <c r="J197" s="8"/>
      <c r="K197" s="8"/>
      <c r="L197" s="9"/>
      <c r="M197" s="9"/>
      <c r="N197" s="12" t="str">
        <f aca="false">IF(OR(L197="",M197=""),"",L197*M197)</f>
        <v/>
      </c>
      <c r="O197" s="13" t="str">
        <f aca="false">IF(N197="","",IF(N197&gt;=Escalas!$A$24,"Crítico",IF(N197&gt;=Escalas!$A$23,"Alto",IF(N197&gt;=Escalas!$A$22,"Medio","Bajo"))))</f>
        <v/>
      </c>
      <c r="P197" s="9"/>
      <c r="Q197" s="9"/>
      <c r="R197" s="9"/>
      <c r="S197" s="12" t="str">
        <f aca="false">IF(OR(Q197="",R197=""),"",Q197*R197)</f>
        <v/>
      </c>
      <c r="T197" s="13" t="str">
        <f aca="false">IF(S197="","",IF(S197&gt;=Escalas!$A$24,"Crítico",IF(S197&gt;=Escalas!$A$23,"Alto",IF(S197&gt;=Escalas!$A$22,"Medio","Bajo"))))</f>
        <v/>
      </c>
      <c r="U197" s="13" t="str">
        <f aca="false">IF(S197="","",IF(S197&lt;=Escalas!$D$28,"Sí","No — requiere aprobación"))</f>
        <v/>
      </c>
      <c r="V197" s="9"/>
    </row>
    <row r="198" customFormat="false" ht="15" hidden="false" customHeight="false" outlineLevel="0" collapsed="false">
      <c r="A198" s="9"/>
      <c r="B198" s="9"/>
      <c r="C198" s="11" t="str">
        <f aca="false">IF(B198="","",IFERROR(INDEX('Inventario de activos'!$B$5:$B$204,MATCH(B198,'Inventario de activos'!$A$5:$A$204,0)),"ID no encontrado"))</f>
        <v/>
      </c>
      <c r="D198" s="9"/>
      <c r="E198" s="11" t="str">
        <f aca="false">IF(D198="","",IFERROR(INDEX('Catálogo de amenazas'!$B$5:$B$204,MATCH(D198,'Catálogo de amenazas'!$A$5:$A$204,0)),"ID no encontrado"))</f>
        <v/>
      </c>
      <c r="F198" s="9"/>
      <c r="G198" s="11" t="str">
        <f aca="false">IF(F198="","",IFERROR(INDEX('Catálogo de vulnerabilidades'!$B$5:$B$204,MATCH(F198,'Catálogo de vulnerabilidades'!$A$5:$A$204,0)),"ID no encontrado"))</f>
        <v/>
      </c>
      <c r="H198" s="8"/>
      <c r="I198" s="9"/>
      <c r="J198" s="8"/>
      <c r="K198" s="8"/>
      <c r="L198" s="9"/>
      <c r="M198" s="9"/>
      <c r="N198" s="12" t="str">
        <f aca="false">IF(OR(L198="",M198=""),"",L198*M198)</f>
        <v/>
      </c>
      <c r="O198" s="13" t="str">
        <f aca="false">IF(N198="","",IF(N198&gt;=Escalas!$A$24,"Crítico",IF(N198&gt;=Escalas!$A$23,"Alto",IF(N198&gt;=Escalas!$A$22,"Medio","Bajo"))))</f>
        <v/>
      </c>
      <c r="P198" s="9"/>
      <c r="Q198" s="9"/>
      <c r="R198" s="9"/>
      <c r="S198" s="12" t="str">
        <f aca="false">IF(OR(Q198="",R198=""),"",Q198*R198)</f>
        <v/>
      </c>
      <c r="T198" s="13" t="str">
        <f aca="false">IF(S198="","",IF(S198&gt;=Escalas!$A$24,"Crítico",IF(S198&gt;=Escalas!$A$23,"Alto",IF(S198&gt;=Escalas!$A$22,"Medio","Bajo"))))</f>
        <v/>
      </c>
      <c r="U198" s="13" t="str">
        <f aca="false">IF(S198="","",IF(S198&lt;=Escalas!$D$28,"Sí","No — requiere aprobación"))</f>
        <v/>
      </c>
      <c r="V198" s="9"/>
    </row>
    <row r="199" customFormat="false" ht="15" hidden="false" customHeight="false" outlineLevel="0" collapsed="false">
      <c r="A199" s="9"/>
      <c r="B199" s="9"/>
      <c r="C199" s="11" t="str">
        <f aca="false">IF(B199="","",IFERROR(INDEX('Inventario de activos'!$B$5:$B$204,MATCH(B199,'Inventario de activos'!$A$5:$A$204,0)),"ID no encontrado"))</f>
        <v/>
      </c>
      <c r="D199" s="9"/>
      <c r="E199" s="11" t="str">
        <f aca="false">IF(D199="","",IFERROR(INDEX('Catálogo de amenazas'!$B$5:$B$204,MATCH(D199,'Catálogo de amenazas'!$A$5:$A$204,0)),"ID no encontrado"))</f>
        <v/>
      </c>
      <c r="F199" s="9"/>
      <c r="G199" s="11" t="str">
        <f aca="false">IF(F199="","",IFERROR(INDEX('Catálogo de vulnerabilidades'!$B$5:$B$204,MATCH(F199,'Catálogo de vulnerabilidades'!$A$5:$A$204,0)),"ID no encontrado"))</f>
        <v/>
      </c>
      <c r="H199" s="8"/>
      <c r="I199" s="9"/>
      <c r="J199" s="8"/>
      <c r="K199" s="8"/>
      <c r="L199" s="9"/>
      <c r="M199" s="9"/>
      <c r="N199" s="12" t="str">
        <f aca="false">IF(OR(L199="",M199=""),"",L199*M199)</f>
        <v/>
      </c>
      <c r="O199" s="13" t="str">
        <f aca="false">IF(N199="","",IF(N199&gt;=Escalas!$A$24,"Crítico",IF(N199&gt;=Escalas!$A$23,"Alto",IF(N199&gt;=Escalas!$A$22,"Medio","Bajo"))))</f>
        <v/>
      </c>
      <c r="P199" s="9"/>
      <c r="Q199" s="9"/>
      <c r="R199" s="9"/>
      <c r="S199" s="12" t="str">
        <f aca="false">IF(OR(Q199="",R199=""),"",Q199*R199)</f>
        <v/>
      </c>
      <c r="T199" s="13" t="str">
        <f aca="false">IF(S199="","",IF(S199&gt;=Escalas!$A$24,"Crítico",IF(S199&gt;=Escalas!$A$23,"Alto",IF(S199&gt;=Escalas!$A$22,"Medio","Bajo"))))</f>
        <v/>
      </c>
      <c r="U199" s="13" t="str">
        <f aca="false">IF(S199="","",IF(S199&lt;=Escalas!$D$28,"Sí","No — requiere aprobación"))</f>
        <v/>
      </c>
      <c r="V199" s="9"/>
    </row>
    <row r="200" customFormat="false" ht="15" hidden="false" customHeight="false" outlineLevel="0" collapsed="false">
      <c r="A200" s="9"/>
      <c r="B200" s="9"/>
      <c r="C200" s="11" t="str">
        <f aca="false">IF(B200="","",IFERROR(INDEX('Inventario de activos'!$B$5:$B$204,MATCH(B200,'Inventario de activos'!$A$5:$A$204,0)),"ID no encontrado"))</f>
        <v/>
      </c>
      <c r="D200" s="9"/>
      <c r="E200" s="11" t="str">
        <f aca="false">IF(D200="","",IFERROR(INDEX('Catálogo de amenazas'!$B$5:$B$204,MATCH(D200,'Catálogo de amenazas'!$A$5:$A$204,0)),"ID no encontrado"))</f>
        <v/>
      </c>
      <c r="F200" s="9"/>
      <c r="G200" s="11" t="str">
        <f aca="false">IF(F200="","",IFERROR(INDEX('Catálogo de vulnerabilidades'!$B$5:$B$204,MATCH(F200,'Catálogo de vulnerabilidades'!$A$5:$A$204,0)),"ID no encontrado"))</f>
        <v/>
      </c>
      <c r="H200" s="8"/>
      <c r="I200" s="9"/>
      <c r="J200" s="8"/>
      <c r="K200" s="8"/>
      <c r="L200" s="9"/>
      <c r="M200" s="9"/>
      <c r="N200" s="12" t="str">
        <f aca="false">IF(OR(L200="",M200=""),"",L200*M200)</f>
        <v/>
      </c>
      <c r="O200" s="13" t="str">
        <f aca="false">IF(N200="","",IF(N200&gt;=Escalas!$A$24,"Crítico",IF(N200&gt;=Escalas!$A$23,"Alto",IF(N200&gt;=Escalas!$A$22,"Medio","Bajo"))))</f>
        <v/>
      </c>
      <c r="P200" s="9"/>
      <c r="Q200" s="9"/>
      <c r="R200" s="9"/>
      <c r="S200" s="12" t="str">
        <f aca="false">IF(OR(Q200="",R200=""),"",Q200*R200)</f>
        <v/>
      </c>
      <c r="T200" s="13" t="str">
        <f aca="false">IF(S200="","",IF(S200&gt;=Escalas!$A$24,"Crítico",IF(S200&gt;=Escalas!$A$23,"Alto",IF(S200&gt;=Escalas!$A$22,"Medio","Bajo"))))</f>
        <v/>
      </c>
      <c r="U200" s="13" t="str">
        <f aca="false">IF(S200="","",IF(S200&lt;=Escalas!$D$28,"Sí","No — requiere aprobación"))</f>
        <v/>
      </c>
      <c r="V200" s="9"/>
    </row>
    <row r="201" customFormat="false" ht="15" hidden="false" customHeight="false" outlineLevel="0" collapsed="false">
      <c r="A201" s="9"/>
      <c r="B201" s="9"/>
      <c r="C201" s="11" t="str">
        <f aca="false">IF(B201="","",IFERROR(INDEX('Inventario de activos'!$B$5:$B$204,MATCH(B201,'Inventario de activos'!$A$5:$A$204,0)),"ID no encontrado"))</f>
        <v/>
      </c>
      <c r="D201" s="9"/>
      <c r="E201" s="11" t="str">
        <f aca="false">IF(D201="","",IFERROR(INDEX('Catálogo de amenazas'!$B$5:$B$204,MATCH(D201,'Catálogo de amenazas'!$A$5:$A$204,0)),"ID no encontrado"))</f>
        <v/>
      </c>
      <c r="F201" s="9"/>
      <c r="G201" s="11" t="str">
        <f aca="false">IF(F201="","",IFERROR(INDEX('Catálogo de vulnerabilidades'!$B$5:$B$204,MATCH(F201,'Catálogo de vulnerabilidades'!$A$5:$A$204,0)),"ID no encontrado"))</f>
        <v/>
      </c>
      <c r="H201" s="8"/>
      <c r="I201" s="9"/>
      <c r="J201" s="8"/>
      <c r="K201" s="8"/>
      <c r="L201" s="9"/>
      <c r="M201" s="9"/>
      <c r="N201" s="12" t="str">
        <f aca="false">IF(OR(L201="",M201=""),"",L201*M201)</f>
        <v/>
      </c>
      <c r="O201" s="13" t="str">
        <f aca="false">IF(N201="","",IF(N201&gt;=Escalas!$A$24,"Crítico",IF(N201&gt;=Escalas!$A$23,"Alto",IF(N201&gt;=Escalas!$A$22,"Medio","Bajo"))))</f>
        <v/>
      </c>
      <c r="P201" s="9"/>
      <c r="Q201" s="9"/>
      <c r="R201" s="9"/>
      <c r="S201" s="12" t="str">
        <f aca="false">IF(OR(Q201="",R201=""),"",Q201*R201)</f>
        <v/>
      </c>
      <c r="T201" s="13" t="str">
        <f aca="false">IF(S201="","",IF(S201&gt;=Escalas!$A$24,"Crítico",IF(S201&gt;=Escalas!$A$23,"Alto",IF(S201&gt;=Escalas!$A$22,"Medio","Bajo"))))</f>
        <v/>
      </c>
      <c r="U201" s="13" t="str">
        <f aca="false">IF(S201="","",IF(S201&lt;=Escalas!$D$28,"Sí","No — requiere aprobación"))</f>
        <v/>
      </c>
      <c r="V201" s="9"/>
    </row>
    <row r="202" customFormat="false" ht="15" hidden="false" customHeight="false" outlineLevel="0" collapsed="false">
      <c r="A202" s="9"/>
      <c r="B202" s="9"/>
      <c r="C202" s="11" t="str">
        <f aca="false">IF(B202="","",IFERROR(INDEX('Inventario de activos'!$B$5:$B$204,MATCH(B202,'Inventario de activos'!$A$5:$A$204,0)),"ID no encontrado"))</f>
        <v/>
      </c>
      <c r="D202" s="9"/>
      <c r="E202" s="11" t="str">
        <f aca="false">IF(D202="","",IFERROR(INDEX('Catálogo de amenazas'!$B$5:$B$204,MATCH(D202,'Catálogo de amenazas'!$A$5:$A$204,0)),"ID no encontrado"))</f>
        <v/>
      </c>
      <c r="F202" s="9"/>
      <c r="G202" s="11" t="str">
        <f aca="false">IF(F202="","",IFERROR(INDEX('Catálogo de vulnerabilidades'!$B$5:$B$204,MATCH(F202,'Catálogo de vulnerabilidades'!$A$5:$A$204,0)),"ID no encontrado"))</f>
        <v/>
      </c>
      <c r="H202" s="8"/>
      <c r="I202" s="9"/>
      <c r="J202" s="8"/>
      <c r="K202" s="8"/>
      <c r="L202" s="9"/>
      <c r="M202" s="9"/>
      <c r="N202" s="12" t="str">
        <f aca="false">IF(OR(L202="",M202=""),"",L202*M202)</f>
        <v/>
      </c>
      <c r="O202" s="13" t="str">
        <f aca="false">IF(N202="","",IF(N202&gt;=Escalas!$A$24,"Crítico",IF(N202&gt;=Escalas!$A$23,"Alto",IF(N202&gt;=Escalas!$A$22,"Medio","Bajo"))))</f>
        <v/>
      </c>
      <c r="P202" s="9"/>
      <c r="Q202" s="9"/>
      <c r="R202" s="9"/>
      <c r="S202" s="12" t="str">
        <f aca="false">IF(OR(Q202="",R202=""),"",Q202*R202)</f>
        <v/>
      </c>
      <c r="T202" s="13" t="str">
        <f aca="false">IF(S202="","",IF(S202&gt;=Escalas!$A$24,"Crítico",IF(S202&gt;=Escalas!$A$23,"Alto",IF(S202&gt;=Escalas!$A$22,"Medio","Bajo"))))</f>
        <v/>
      </c>
      <c r="U202" s="13" t="str">
        <f aca="false">IF(S202="","",IF(S202&lt;=Escalas!$D$28,"Sí","No — requiere aprobación"))</f>
        <v/>
      </c>
      <c r="V202" s="9"/>
    </row>
    <row r="203" customFormat="false" ht="15" hidden="false" customHeight="false" outlineLevel="0" collapsed="false">
      <c r="A203" s="9"/>
      <c r="B203" s="9"/>
      <c r="C203" s="11" t="str">
        <f aca="false">IF(B203="","",IFERROR(INDEX('Inventario de activos'!$B$5:$B$204,MATCH(B203,'Inventario de activos'!$A$5:$A$204,0)),"ID no encontrado"))</f>
        <v/>
      </c>
      <c r="D203" s="9"/>
      <c r="E203" s="11" t="str">
        <f aca="false">IF(D203="","",IFERROR(INDEX('Catálogo de amenazas'!$B$5:$B$204,MATCH(D203,'Catálogo de amenazas'!$A$5:$A$204,0)),"ID no encontrado"))</f>
        <v/>
      </c>
      <c r="F203" s="9"/>
      <c r="G203" s="11" t="str">
        <f aca="false">IF(F203="","",IFERROR(INDEX('Catálogo de vulnerabilidades'!$B$5:$B$204,MATCH(F203,'Catálogo de vulnerabilidades'!$A$5:$A$204,0)),"ID no encontrado"))</f>
        <v/>
      </c>
      <c r="H203" s="8"/>
      <c r="I203" s="9"/>
      <c r="J203" s="8"/>
      <c r="K203" s="8"/>
      <c r="L203" s="9"/>
      <c r="M203" s="9"/>
      <c r="N203" s="12" t="str">
        <f aca="false">IF(OR(L203="",M203=""),"",L203*M203)</f>
        <v/>
      </c>
      <c r="O203" s="13" t="str">
        <f aca="false">IF(N203="","",IF(N203&gt;=Escalas!$A$24,"Crítico",IF(N203&gt;=Escalas!$A$23,"Alto",IF(N203&gt;=Escalas!$A$22,"Medio","Bajo"))))</f>
        <v/>
      </c>
      <c r="P203" s="9"/>
      <c r="Q203" s="9"/>
      <c r="R203" s="9"/>
      <c r="S203" s="12" t="str">
        <f aca="false">IF(OR(Q203="",R203=""),"",Q203*R203)</f>
        <v/>
      </c>
      <c r="T203" s="13" t="str">
        <f aca="false">IF(S203="","",IF(S203&gt;=Escalas!$A$24,"Crítico",IF(S203&gt;=Escalas!$A$23,"Alto",IF(S203&gt;=Escalas!$A$22,"Medio","Bajo"))))</f>
        <v/>
      </c>
      <c r="U203" s="13" t="str">
        <f aca="false">IF(S203="","",IF(S203&lt;=Escalas!$D$28,"Sí","No — requiere aprobación"))</f>
        <v/>
      </c>
      <c r="V203" s="9"/>
    </row>
    <row r="204" customFormat="false" ht="15" hidden="false" customHeight="false" outlineLevel="0" collapsed="false">
      <c r="A204" s="9"/>
      <c r="B204" s="9"/>
      <c r="C204" s="11" t="str">
        <f aca="false">IF(B204="","",IFERROR(INDEX('Inventario de activos'!$B$5:$B$204,MATCH(B204,'Inventario de activos'!$A$5:$A$204,0)),"ID no encontrado"))</f>
        <v/>
      </c>
      <c r="D204" s="9"/>
      <c r="E204" s="11" t="str">
        <f aca="false">IF(D204="","",IFERROR(INDEX('Catálogo de amenazas'!$B$5:$B$204,MATCH(D204,'Catálogo de amenazas'!$A$5:$A$204,0)),"ID no encontrado"))</f>
        <v/>
      </c>
      <c r="F204" s="9"/>
      <c r="G204" s="11" t="str">
        <f aca="false">IF(F204="","",IFERROR(INDEX('Catálogo de vulnerabilidades'!$B$5:$B$204,MATCH(F204,'Catálogo de vulnerabilidades'!$A$5:$A$204,0)),"ID no encontrado"))</f>
        <v/>
      </c>
      <c r="H204" s="8"/>
      <c r="I204" s="9"/>
      <c r="J204" s="8"/>
      <c r="K204" s="8"/>
      <c r="L204" s="9"/>
      <c r="M204" s="9"/>
      <c r="N204" s="12" t="str">
        <f aca="false">IF(OR(L204="",M204=""),"",L204*M204)</f>
        <v/>
      </c>
      <c r="O204" s="13" t="str">
        <f aca="false">IF(N204="","",IF(N204&gt;=Escalas!$A$24,"Crítico",IF(N204&gt;=Escalas!$A$23,"Alto",IF(N204&gt;=Escalas!$A$22,"Medio","Bajo"))))</f>
        <v/>
      </c>
      <c r="P204" s="9"/>
      <c r="Q204" s="9"/>
      <c r="R204" s="9"/>
      <c r="S204" s="12" t="str">
        <f aca="false">IF(OR(Q204="",R204=""),"",Q204*R204)</f>
        <v/>
      </c>
      <c r="T204" s="13" t="str">
        <f aca="false">IF(S204="","",IF(S204&gt;=Escalas!$A$24,"Crítico",IF(S204&gt;=Escalas!$A$23,"Alto",IF(S204&gt;=Escalas!$A$22,"Medio","Bajo"))))</f>
        <v/>
      </c>
      <c r="U204" s="13" t="str">
        <f aca="false">IF(S204="","",IF(S204&lt;=Escalas!$D$28,"Sí","No — requiere aprobación"))</f>
        <v/>
      </c>
      <c r="V204" s="9"/>
    </row>
  </sheetData>
  <autoFilter ref="A4:V204"/>
  <conditionalFormatting sqref="O5:O204">
    <cfRule type="cellIs" priority="2" operator="equal" aboveAverage="0" equalAverage="0" bottom="0" percent="0" rank="0" text="" dxfId="9">
      <formula>"Bajo"</formula>
    </cfRule>
    <cfRule type="cellIs" priority="3" operator="equal" aboveAverage="0" equalAverage="0" bottom="0" percent="0" rank="0" text="" dxfId="10">
      <formula>"Medio"</formula>
    </cfRule>
    <cfRule type="cellIs" priority="4" operator="equal" aboveAverage="0" equalAverage="0" bottom="0" percent="0" rank="0" text="" dxfId="11">
      <formula>"Alto"</formula>
    </cfRule>
    <cfRule type="cellIs" priority="5" operator="equal" aboveAverage="0" equalAverage="0" bottom="0" percent="0" rank="0" text="" dxfId="12">
      <formula>"Crítico"</formula>
    </cfRule>
  </conditionalFormatting>
  <conditionalFormatting sqref="T5:T204">
    <cfRule type="cellIs" priority="6" operator="equal" aboveAverage="0" equalAverage="0" bottom="0" percent="0" rank="0" text="" dxfId="9">
      <formula>"Bajo"</formula>
    </cfRule>
    <cfRule type="cellIs" priority="7" operator="equal" aboveAverage="0" equalAverage="0" bottom="0" percent="0" rank="0" text="" dxfId="10">
      <formula>"Medio"</formula>
    </cfRule>
    <cfRule type="cellIs" priority="8" operator="equal" aboveAverage="0" equalAverage="0" bottom="0" percent="0" rank="0" text="" dxfId="11">
      <formula>"Alto"</formula>
    </cfRule>
    <cfRule type="cellIs" priority="9" operator="equal" aboveAverage="0" equalAverage="0" bottom="0" percent="0" rank="0" text="" dxfId="12">
      <formula>"Crítico"</formula>
    </cfRule>
  </conditionalFormatting>
  <conditionalFormatting sqref="U5:U204">
    <cfRule type="cellIs" priority="10" operator="equal" aboveAverage="0" equalAverage="0" bottom="0" percent="0" rank="0" text="" dxfId="13">
      <formula>"No — requiere aprobación"</formula>
    </cfRule>
  </conditionalFormatting>
  <dataValidations count="5">
    <dataValidation allowBlank="true" errorStyle="stop" operator="between" showDropDown="false" showErrorMessage="false" showInputMessage="false" sqref="B5:B204" type="list">
      <formula1>'Inventario de activos'!$A$5:$A$204</formula1>
      <formula2>0</formula2>
    </dataValidation>
    <dataValidation allowBlank="true" errorStyle="stop" operator="between" showDropDown="false" showErrorMessage="false" showInputMessage="false" sqref="D5:D204" type="list">
      <formula1>'Catálogo de amenazas'!$A$5:$A$204</formula1>
      <formula2>0</formula2>
    </dataValidation>
    <dataValidation allowBlank="true" errorStyle="stop" operator="between" showDropDown="false" showErrorMessage="false" showInputMessage="false" sqref="F5:F204" type="list">
      <formula1>'Catálogo de vulnerabilidades'!$A$5:$A$204</formula1>
      <formula2>0</formula2>
    </dataValidation>
    <dataValidation allowBlank="true" errorStyle="stop" operator="between" showDropDown="false" showErrorMessage="false" showInputMessage="false" sqref="P5:P204" type="list">
      <formula1>"Mitigar,Transferir,Evitar,Aceptar"</formula1>
      <formula2>0</formula2>
    </dataValidation>
    <dataValidation allowBlank="true" error="Usa un número entero del 1 al 5 (ver hoja Escalas)." errorStyle="stop" errorTitle="Valor no válido" operator="between" showDropDown="false" showErrorMessage="true" showInputMessage="false" sqref="L5:M204 Q5:R204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9"/>
    <col collapsed="false" customWidth="true" hidden="false" outlineLevel="0" max="3" min="3" style="0" width="44"/>
    <col collapsed="false" customWidth="true" hidden="false" outlineLevel="0" max="4" min="4" style="0" width="11"/>
    <col collapsed="false" customWidth="true" hidden="false" outlineLevel="0" max="5" min="5" style="0" width="46"/>
    <col collapsed="false" customWidth="true" hidden="false" outlineLevel="0" max="6" min="6" style="0" width="18"/>
    <col collapsed="false" customWidth="true" hidden="false" outlineLevel="0" max="7" min="7" style="0" width="20"/>
    <col collapsed="false" customWidth="true" hidden="false" outlineLevel="0" max="8" min="8" style="0" width="26"/>
    <col collapsed="false" customWidth="true" hidden="false" outlineLevel="0" max="9" min="9" style="0" width="12"/>
    <col collapsed="false" customWidth="true" hidden="false" outlineLevel="0" max="11" min="10" style="0" width="13"/>
    <col collapsed="false" customWidth="true" hidden="false" outlineLevel="0" max="13" min="12" style="0" width="10"/>
    <col collapsed="false" customWidth="true" hidden="false" outlineLevel="0" max="14" min="14" style="0" width="30"/>
  </cols>
  <sheetData>
    <row r="1" customFormat="false" ht="17.35" hidden="false" customHeight="false" outlineLevel="0" collapsed="false">
      <c r="A1" s="1" t="s">
        <v>122</v>
      </c>
    </row>
    <row r="2" customFormat="false" ht="15" hidden="false" customHeight="false" outlineLevel="0" collapsed="false">
      <c r="A2" s="2" t="s">
        <v>123</v>
      </c>
    </row>
    <row r="4" customFormat="false" ht="42" hidden="false" customHeight="true" outlineLevel="0" collapsed="false">
      <c r="A4" s="7" t="s">
        <v>124</v>
      </c>
      <c r="B4" s="7" t="s">
        <v>69</v>
      </c>
      <c r="C4" s="7" t="s">
        <v>75</v>
      </c>
      <c r="D4" s="7" t="s">
        <v>81</v>
      </c>
      <c r="E4" s="7" t="s">
        <v>125</v>
      </c>
      <c r="F4" s="7" t="s">
        <v>126</v>
      </c>
      <c r="G4" s="7" t="s">
        <v>127</v>
      </c>
      <c r="H4" s="7" t="s">
        <v>128</v>
      </c>
      <c r="I4" s="7" t="s">
        <v>129</v>
      </c>
      <c r="J4" s="7" t="s">
        <v>130</v>
      </c>
      <c r="K4" s="7" t="s">
        <v>131</v>
      </c>
      <c r="L4" s="7" t="s">
        <v>132</v>
      </c>
      <c r="M4" s="7" t="s">
        <v>133</v>
      </c>
      <c r="N4" s="7" t="s">
        <v>134</v>
      </c>
    </row>
    <row r="5" customFormat="false" ht="35.05" hidden="false" customHeight="false" outlineLevel="0" collapsed="false">
      <c r="A5" s="9" t="s">
        <v>135</v>
      </c>
      <c r="B5" s="9" t="s">
        <v>90</v>
      </c>
      <c r="C5" s="11" t="str">
        <f aca="false">IF(B5="","",IFERROR(INDEX('Evaluación de riesgos'!$H$5:$H$204,MATCH(B5,'Evaluación de riesgos'!$A$5:$A$204,0)),"ID no encontrado"))</f>
        <v>Por phishing que aprovecha la falta de concientización, podrían comprometerse cuentas de correo y exponerse información de clientes</v>
      </c>
      <c r="D5" s="13" t="str">
        <f aca="false">IF(B5="","",IFERROR(INDEX('Evaluación de riesgos'!$O$5:$O$204,MATCH(B5,'Evaluación de riesgos'!$A$5:$A$204,0)),""))</f>
        <v>Crítico</v>
      </c>
      <c r="E5" s="8" t="s">
        <v>136</v>
      </c>
      <c r="F5" s="8" t="s">
        <v>137</v>
      </c>
      <c r="G5" s="8" t="s">
        <v>34</v>
      </c>
      <c r="H5" s="8" t="s">
        <v>138</v>
      </c>
      <c r="I5" s="14" t="n">
        <v>46204</v>
      </c>
      <c r="J5" s="14" t="n">
        <v>46371</v>
      </c>
      <c r="K5" s="9" t="s">
        <v>139</v>
      </c>
      <c r="L5" s="15" t="n">
        <v>0.5</v>
      </c>
      <c r="M5" s="13" t="str">
        <f aca="true">IF(OR(J5="",K5="Completada",K5="Cancelada"),"",IF(J5&lt;TODAY(),"Sí","No"))</f>
        <v>No</v>
      </c>
      <c r="N5" s="8"/>
    </row>
    <row r="6" customFormat="false" ht="35.05" hidden="false" customHeight="false" outlineLevel="0" collapsed="false">
      <c r="A6" s="9" t="s">
        <v>140</v>
      </c>
      <c r="B6" s="9" t="s">
        <v>98</v>
      </c>
      <c r="C6" s="11" t="str">
        <f aca="false">IF(B6="","",IFERROR(INDEX('Evaluación de riesgos'!$H$5:$H$204,MATCH(B6,'Evaluación de riesgos'!$A$5:$A$204,0)),"ID no encontrado"))</f>
        <v>Por ransomware que aprovecha respaldos no aislados, podría cifrarse la base del ERP sin posibilidad de recuperación oportuna</v>
      </c>
      <c r="D6" s="13" t="str">
        <f aca="false">IF(B6="","",IFERROR(INDEX('Evaluación de riesgos'!$O$5:$O$204,MATCH(B6,'Evaluación de riesgos'!$A$5:$A$204,0)),""))</f>
        <v>Crítico</v>
      </c>
      <c r="E6" s="8" t="s">
        <v>141</v>
      </c>
      <c r="F6" s="8" t="s">
        <v>142</v>
      </c>
      <c r="G6" s="8" t="s">
        <v>34</v>
      </c>
      <c r="H6" s="8" t="s">
        <v>143</v>
      </c>
      <c r="I6" s="14" t="n">
        <v>46235</v>
      </c>
      <c r="J6" s="14" t="n">
        <v>46418</v>
      </c>
      <c r="K6" s="9" t="s">
        <v>144</v>
      </c>
      <c r="L6" s="15" t="n">
        <v>0</v>
      </c>
      <c r="M6" s="13" t="str">
        <f aca="true">IF(OR(J6="",K6="Completada",K6="Cancelada"),"",IF(J6&lt;TODAY(),"Sí","No"))</f>
        <v>No</v>
      </c>
      <c r="N6" s="8"/>
    </row>
    <row r="7" customFormat="false" ht="35.05" hidden="false" customHeight="false" outlineLevel="0" collapsed="false">
      <c r="A7" s="9" t="s">
        <v>145</v>
      </c>
      <c r="B7" s="9" t="s">
        <v>104</v>
      </c>
      <c r="C7" s="11" t="str">
        <f aca="false">IF(B7="","",IFERROR(INDEX('Evaluación de riesgos'!$H$5:$H$204,MATCH(B7,'Evaluación de riesgos'!$A$5:$A$204,0)),"ID no encontrado"))</f>
        <v>Por acceso de excolaboradores que aprovecha un proceso de bajas sin control, podría extraerse la cartera de clientes</v>
      </c>
      <c r="D7" s="13" t="str">
        <f aca="false">IF(B7="","",IFERROR(INDEX('Evaluación de riesgos'!$O$5:$O$204,MATCH(B7,'Evaluación de riesgos'!$A$5:$A$204,0)),""))</f>
        <v>Alto</v>
      </c>
      <c r="E7" s="8" t="s">
        <v>146</v>
      </c>
      <c r="F7" s="8" t="s">
        <v>147</v>
      </c>
      <c r="G7" s="8" t="s">
        <v>34</v>
      </c>
      <c r="H7" s="8" t="s">
        <v>148</v>
      </c>
      <c r="I7" s="14" t="n">
        <v>46174</v>
      </c>
      <c r="J7" s="14" t="n">
        <v>46295</v>
      </c>
      <c r="K7" s="9" t="s">
        <v>149</v>
      </c>
      <c r="L7" s="15" t="n">
        <v>1</v>
      </c>
      <c r="M7" s="13" t="str">
        <f aca="true">IF(OR(J7="",K7="Completada",K7="Cancelada"),"",IF(J7&lt;TODAY(),"Sí","No"))</f>
        <v/>
      </c>
      <c r="N7" s="8"/>
    </row>
    <row r="8" customFormat="false" ht="23.85" hidden="false" customHeight="false" outlineLevel="0" collapsed="false">
      <c r="A8" s="9" t="s">
        <v>150</v>
      </c>
      <c r="B8" s="9" t="s">
        <v>110</v>
      </c>
      <c r="C8" s="11" t="str">
        <f aca="false">IF(B8="","",IFERROR(INDEX('Evaluación de riesgos'!$H$5:$H$204,MATCH(B8,'Evaluación de riesgos'!$A$5:$A$204,0)),"ID no encontrado"))</f>
        <v>Por robo de una laptop sin cifrado, podría divulgarse información de clientes almacenada localmente</v>
      </c>
      <c r="D8" s="13" t="str">
        <f aca="false">IF(B8="","",IFERROR(INDEX('Evaluación de riesgos'!$O$5:$O$204,MATCH(B8,'Evaluación de riesgos'!$A$5:$A$204,0)),""))</f>
        <v>Alto</v>
      </c>
      <c r="E8" s="8" t="s">
        <v>151</v>
      </c>
      <c r="F8" s="8" t="s">
        <v>152</v>
      </c>
      <c r="G8" s="8" t="s">
        <v>34</v>
      </c>
      <c r="H8" s="8" t="s">
        <v>153</v>
      </c>
      <c r="I8" s="14" t="n">
        <v>46143</v>
      </c>
      <c r="J8" s="14" t="n">
        <v>46265</v>
      </c>
      <c r="K8" s="9" t="s">
        <v>149</v>
      </c>
      <c r="L8" s="15" t="n">
        <v>1</v>
      </c>
      <c r="M8" s="13" t="str">
        <f aca="true">IF(OR(J8="",K8="Completada",K8="Cancelada"),"",IF(J8&lt;TODAY(),"Sí","No"))</f>
        <v/>
      </c>
      <c r="N8" s="8"/>
    </row>
    <row r="9" customFormat="false" ht="15" hidden="false" customHeight="false" outlineLevel="0" collapsed="false">
      <c r="A9" s="9"/>
      <c r="B9" s="9"/>
      <c r="C9" s="11" t="str">
        <f aca="false">IF(B9="","",IFERROR(INDEX('Evaluación de riesgos'!$H$5:$H$204,MATCH(B9,'Evaluación de riesgos'!$A$5:$A$204,0)),"ID no encontrado"))</f>
        <v/>
      </c>
      <c r="D9" s="13" t="str">
        <f aca="false">IF(B9="","",IFERROR(INDEX('Evaluación de riesgos'!$O$5:$O$204,MATCH(B9,'Evaluación de riesgos'!$A$5:$A$204,0)),""))</f>
        <v/>
      </c>
      <c r="E9" s="8"/>
      <c r="F9" s="8"/>
      <c r="G9" s="8"/>
      <c r="H9" s="8"/>
      <c r="I9" s="14"/>
      <c r="J9" s="14"/>
      <c r="K9" s="9"/>
      <c r="L9" s="15"/>
      <c r="M9" s="13" t="str">
        <f aca="true">IF(OR(J9="",K9="Completada",K9="Cancelada"),"",IF(J9&lt;TODAY(),"Sí","No"))</f>
        <v/>
      </c>
      <c r="N9" s="8"/>
    </row>
    <row r="10" customFormat="false" ht="15" hidden="false" customHeight="false" outlineLevel="0" collapsed="false">
      <c r="A10" s="9"/>
      <c r="B10" s="9"/>
      <c r="C10" s="11" t="str">
        <f aca="false">IF(B10="","",IFERROR(INDEX('Evaluación de riesgos'!$H$5:$H$204,MATCH(B10,'Evaluación de riesgos'!$A$5:$A$204,0)),"ID no encontrado"))</f>
        <v/>
      </c>
      <c r="D10" s="13" t="str">
        <f aca="false">IF(B10="","",IFERROR(INDEX('Evaluación de riesgos'!$O$5:$O$204,MATCH(B10,'Evaluación de riesgos'!$A$5:$A$204,0)),""))</f>
        <v/>
      </c>
      <c r="E10" s="8"/>
      <c r="F10" s="8"/>
      <c r="G10" s="8"/>
      <c r="H10" s="8"/>
      <c r="I10" s="14"/>
      <c r="J10" s="14"/>
      <c r="K10" s="9"/>
      <c r="L10" s="15"/>
      <c r="M10" s="13" t="str">
        <f aca="true">IF(OR(J10="",K10="Completada",K10="Cancelada"),"",IF(J10&lt;TODAY(),"Sí","No"))</f>
        <v/>
      </c>
      <c r="N10" s="8"/>
    </row>
    <row r="11" customFormat="false" ht="15" hidden="false" customHeight="false" outlineLevel="0" collapsed="false">
      <c r="A11" s="9"/>
      <c r="B11" s="9"/>
      <c r="C11" s="11" t="str">
        <f aca="false">IF(B11="","",IFERROR(INDEX('Evaluación de riesgos'!$H$5:$H$204,MATCH(B11,'Evaluación de riesgos'!$A$5:$A$204,0)),"ID no encontrado"))</f>
        <v/>
      </c>
      <c r="D11" s="13" t="str">
        <f aca="false">IF(B11="","",IFERROR(INDEX('Evaluación de riesgos'!$O$5:$O$204,MATCH(B11,'Evaluación de riesgos'!$A$5:$A$204,0)),""))</f>
        <v/>
      </c>
      <c r="E11" s="8"/>
      <c r="F11" s="8"/>
      <c r="G11" s="8"/>
      <c r="H11" s="8"/>
      <c r="I11" s="14"/>
      <c r="J11" s="14"/>
      <c r="K11" s="9"/>
      <c r="L11" s="15"/>
      <c r="M11" s="13" t="str">
        <f aca="true">IF(OR(J11="",K11="Completada",K11="Cancelada"),"",IF(J11&lt;TODAY(),"Sí","No"))</f>
        <v/>
      </c>
      <c r="N11" s="8"/>
    </row>
    <row r="12" customFormat="false" ht="15" hidden="false" customHeight="false" outlineLevel="0" collapsed="false">
      <c r="A12" s="9"/>
      <c r="B12" s="9"/>
      <c r="C12" s="11" t="str">
        <f aca="false">IF(B12="","",IFERROR(INDEX('Evaluación de riesgos'!$H$5:$H$204,MATCH(B12,'Evaluación de riesgos'!$A$5:$A$204,0)),"ID no encontrado"))</f>
        <v/>
      </c>
      <c r="D12" s="13" t="str">
        <f aca="false">IF(B12="","",IFERROR(INDEX('Evaluación de riesgos'!$O$5:$O$204,MATCH(B12,'Evaluación de riesgos'!$A$5:$A$204,0)),""))</f>
        <v/>
      </c>
      <c r="E12" s="8"/>
      <c r="F12" s="8"/>
      <c r="G12" s="8"/>
      <c r="H12" s="8"/>
      <c r="I12" s="14"/>
      <c r="J12" s="14"/>
      <c r="K12" s="9"/>
      <c r="L12" s="15"/>
      <c r="M12" s="13" t="str">
        <f aca="true">IF(OR(J12="",K12="Completada",K12="Cancelada"),"",IF(J12&lt;TODAY(),"Sí","No"))</f>
        <v/>
      </c>
      <c r="N12" s="8"/>
    </row>
    <row r="13" customFormat="false" ht="15" hidden="false" customHeight="false" outlineLevel="0" collapsed="false">
      <c r="A13" s="9"/>
      <c r="B13" s="9"/>
      <c r="C13" s="11" t="str">
        <f aca="false">IF(B13="","",IFERROR(INDEX('Evaluación de riesgos'!$H$5:$H$204,MATCH(B13,'Evaluación de riesgos'!$A$5:$A$204,0)),"ID no encontrado"))</f>
        <v/>
      </c>
      <c r="D13" s="13" t="str">
        <f aca="false">IF(B13="","",IFERROR(INDEX('Evaluación de riesgos'!$O$5:$O$204,MATCH(B13,'Evaluación de riesgos'!$A$5:$A$204,0)),""))</f>
        <v/>
      </c>
      <c r="E13" s="8"/>
      <c r="F13" s="8"/>
      <c r="G13" s="8"/>
      <c r="H13" s="8"/>
      <c r="I13" s="14"/>
      <c r="J13" s="14"/>
      <c r="K13" s="9"/>
      <c r="L13" s="15"/>
      <c r="M13" s="13" t="str">
        <f aca="true">IF(OR(J13="",K13="Completada",K13="Cancelada"),"",IF(J13&lt;TODAY(),"Sí","No"))</f>
        <v/>
      </c>
      <c r="N13" s="8"/>
    </row>
    <row r="14" customFormat="false" ht="15" hidden="false" customHeight="false" outlineLevel="0" collapsed="false">
      <c r="A14" s="9"/>
      <c r="B14" s="9"/>
      <c r="C14" s="11" t="str">
        <f aca="false">IF(B14="","",IFERROR(INDEX('Evaluación de riesgos'!$H$5:$H$204,MATCH(B14,'Evaluación de riesgos'!$A$5:$A$204,0)),"ID no encontrado"))</f>
        <v/>
      </c>
      <c r="D14" s="13" t="str">
        <f aca="false">IF(B14="","",IFERROR(INDEX('Evaluación de riesgos'!$O$5:$O$204,MATCH(B14,'Evaluación de riesgos'!$A$5:$A$204,0)),""))</f>
        <v/>
      </c>
      <c r="E14" s="8"/>
      <c r="F14" s="8"/>
      <c r="G14" s="8"/>
      <c r="H14" s="8"/>
      <c r="I14" s="14"/>
      <c r="J14" s="14"/>
      <c r="K14" s="9"/>
      <c r="L14" s="15"/>
      <c r="M14" s="13" t="str">
        <f aca="true">IF(OR(J14="",K14="Completada",K14="Cancelada"),"",IF(J14&lt;TODAY(),"Sí","No"))</f>
        <v/>
      </c>
      <c r="N14" s="8"/>
    </row>
    <row r="15" customFormat="false" ht="15" hidden="false" customHeight="false" outlineLevel="0" collapsed="false">
      <c r="A15" s="9"/>
      <c r="B15" s="9"/>
      <c r="C15" s="11" t="str">
        <f aca="false">IF(B15="","",IFERROR(INDEX('Evaluación de riesgos'!$H$5:$H$204,MATCH(B15,'Evaluación de riesgos'!$A$5:$A$204,0)),"ID no encontrado"))</f>
        <v/>
      </c>
      <c r="D15" s="13" t="str">
        <f aca="false">IF(B15="","",IFERROR(INDEX('Evaluación de riesgos'!$O$5:$O$204,MATCH(B15,'Evaluación de riesgos'!$A$5:$A$204,0)),""))</f>
        <v/>
      </c>
      <c r="E15" s="8"/>
      <c r="F15" s="8"/>
      <c r="G15" s="8"/>
      <c r="H15" s="8"/>
      <c r="I15" s="14"/>
      <c r="J15" s="14"/>
      <c r="K15" s="9"/>
      <c r="L15" s="15"/>
      <c r="M15" s="13" t="str">
        <f aca="true">IF(OR(J15="",K15="Completada",K15="Cancelada"),"",IF(J15&lt;TODAY(),"Sí","No"))</f>
        <v/>
      </c>
      <c r="N15" s="8"/>
    </row>
    <row r="16" customFormat="false" ht="15" hidden="false" customHeight="false" outlineLevel="0" collapsed="false">
      <c r="A16" s="9"/>
      <c r="B16" s="9"/>
      <c r="C16" s="11" t="str">
        <f aca="false">IF(B16="","",IFERROR(INDEX('Evaluación de riesgos'!$H$5:$H$204,MATCH(B16,'Evaluación de riesgos'!$A$5:$A$204,0)),"ID no encontrado"))</f>
        <v/>
      </c>
      <c r="D16" s="13" t="str">
        <f aca="false">IF(B16="","",IFERROR(INDEX('Evaluación de riesgos'!$O$5:$O$204,MATCH(B16,'Evaluación de riesgos'!$A$5:$A$204,0)),""))</f>
        <v/>
      </c>
      <c r="E16" s="8"/>
      <c r="F16" s="8"/>
      <c r="G16" s="8"/>
      <c r="H16" s="8"/>
      <c r="I16" s="14"/>
      <c r="J16" s="14"/>
      <c r="K16" s="9"/>
      <c r="L16" s="15"/>
      <c r="M16" s="13" t="str">
        <f aca="true">IF(OR(J16="",K16="Completada",K16="Cancelada"),"",IF(J16&lt;TODAY(),"Sí","No"))</f>
        <v/>
      </c>
      <c r="N16" s="8"/>
    </row>
    <row r="17" customFormat="false" ht="15" hidden="false" customHeight="false" outlineLevel="0" collapsed="false">
      <c r="A17" s="9"/>
      <c r="B17" s="9"/>
      <c r="C17" s="11" t="str">
        <f aca="false">IF(B17="","",IFERROR(INDEX('Evaluación de riesgos'!$H$5:$H$204,MATCH(B17,'Evaluación de riesgos'!$A$5:$A$204,0)),"ID no encontrado"))</f>
        <v/>
      </c>
      <c r="D17" s="13" t="str">
        <f aca="false">IF(B17="","",IFERROR(INDEX('Evaluación de riesgos'!$O$5:$O$204,MATCH(B17,'Evaluación de riesgos'!$A$5:$A$204,0)),""))</f>
        <v/>
      </c>
      <c r="E17" s="8"/>
      <c r="F17" s="8"/>
      <c r="G17" s="8"/>
      <c r="H17" s="8"/>
      <c r="I17" s="14"/>
      <c r="J17" s="14"/>
      <c r="K17" s="9"/>
      <c r="L17" s="15"/>
      <c r="M17" s="13" t="str">
        <f aca="true">IF(OR(J17="",K17="Completada",K17="Cancelada"),"",IF(J17&lt;TODAY(),"Sí","No"))</f>
        <v/>
      </c>
      <c r="N17" s="8"/>
    </row>
    <row r="18" customFormat="false" ht="15" hidden="false" customHeight="false" outlineLevel="0" collapsed="false">
      <c r="A18" s="9"/>
      <c r="B18" s="9"/>
      <c r="C18" s="11" t="str">
        <f aca="false">IF(B18="","",IFERROR(INDEX('Evaluación de riesgos'!$H$5:$H$204,MATCH(B18,'Evaluación de riesgos'!$A$5:$A$204,0)),"ID no encontrado"))</f>
        <v/>
      </c>
      <c r="D18" s="13" t="str">
        <f aca="false">IF(B18="","",IFERROR(INDEX('Evaluación de riesgos'!$O$5:$O$204,MATCH(B18,'Evaluación de riesgos'!$A$5:$A$204,0)),""))</f>
        <v/>
      </c>
      <c r="E18" s="8"/>
      <c r="F18" s="8"/>
      <c r="G18" s="8"/>
      <c r="H18" s="8"/>
      <c r="I18" s="14"/>
      <c r="J18" s="14"/>
      <c r="K18" s="9"/>
      <c r="L18" s="15"/>
      <c r="M18" s="13" t="str">
        <f aca="true">IF(OR(J18="",K18="Completada",K18="Cancelada"),"",IF(J18&lt;TODAY(),"Sí","No"))</f>
        <v/>
      </c>
      <c r="N18" s="8"/>
    </row>
    <row r="19" customFormat="false" ht="15" hidden="false" customHeight="false" outlineLevel="0" collapsed="false">
      <c r="A19" s="9"/>
      <c r="B19" s="9"/>
      <c r="C19" s="11" t="str">
        <f aca="false">IF(B19="","",IFERROR(INDEX('Evaluación de riesgos'!$H$5:$H$204,MATCH(B19,'Evaluación de riesgos'!$A$5:$A$204,0)),"ID no encontrado"))</f>
        <v/>
      </c>
      <c r="D19" s="13" t="str">
        <f aca="false">IF(B19="","",IFERROR(INDEX('Evaluación de riesgos'!$O$5:$O$204,MATCH(B19,'Evaluación de riesgos'!$A$5:$A$204,0)),""))</f>
        <v/>
      </c>
      <c r="E19" s="8"/>
      <c r="F19" s="8"/>
      <c r="G19" s="8"/>
      <c r="H19" s="8"/>
      <c r="I19" s="14"/>
      <c r="J19" s="14"/>
      <c r="K19" s="9"/>
      <c r="L19" s="15"/>
      <c r="M19" s="13" t="str">
        <f aca="true">IF(OR(J19="",K19="Completada",K19="Cancelada"),"",IF(J19&lt;TODAY(),"Sí","No"))</f>
        <v/>
      </c>
      <c r="N19" s="8"/>
    </row>
    <row r="20" customFormat="false" ht="15" hidden="false" customHeight="false" outlineLevel="0" collapsed="false">
      <c r="A20" s="9"/>
      <c r="B20" s="9"/>
      <c r="C20" s="11" t="str">
        <f aca="false">IF(B20="","",IFERROR(INDEX('Evaluación de riesgos'!$H$5:$H$204,MATCH(B20,'Evaluación de riesgos'!$A$5:$A$204,0)),"ID no encontrado"))</f>
        <v/>
      </c>
      <c r="D20" s="13" t="str">
        <f aca="false">IF(B20="","",IFERROR(INDEX('Evaluación de riesgos'!$O$5:$O$204,MATCH(B20,'Evaluación de riesgos'!$A$5:$A$204,0)),""))</f>
        <v/>
      </c>
      <c r="E20" s="8"/>
      <c r="F20" s="8"/>
      <c r="G20" s="8"/>
      <c r="H20" s="8"/>
      <c r="I20" s="14"/>
      <c r="J20" s="14"/>
      <c r="K20" s="9"/>
      <c r="L20" s="15"/>
      <c r="M20" s="13" t="str">
        <f aca="true">IF(OR(J20="",K20="Completada",K20="Cancelada"),"",IF(J20&lt;TODAY(),"Sí","No"))</f>
        <v/>
      </c>
      <c r="N20" s="8"/>
    </row>
    <row r="21" customFormat="false" ht="15" hidden="false" customHeight="false" outlineLevel="0" collapsed="false">
      <c r="A21" s="9"/>
      <c r="B21" s="9"/>
      <c r="C21" s="11" t="str">
        <f aca="false">IF(B21="","",IFERROR(INDEX('Evaluación de riesgos'!$H$5:$H$204,MATCH(B21,'Evaluación de riesgos'!$A$5:$A$204,0)),"ID no encontrado"))</f>
        <v/>
      </c>
      <c r="D21" s="13" t="str">
        <f aca="false">IF(B21="","",IFERROR(INDEX('Evaluación de riesgos'!$O$5:$O$204,MATCH(B21,'Evaluación de riesgos'!$A$5:$A$204,0)),""))</f>
        <v/>
      </c>
      <c r="E21" s="8"/>
      <c r="F21" s="8"/>
      <c r="G21" s="8"/>
      <c r="H21" s="8"/>
      <c r="I21" s="14"/>
      <c r="J21" s="14"/>
      <c r="K21" s="9"/>
      <c r="L21" s="15"/>
      <c r="M21" s="13" t="str">
        <f aca="true">IF(OR(J21="",K21="Completada",K21="Cancelada"),"",IF(J21&lt;TODAY(),"Sí","No"))</f>
        <v/>
      </c>
      <c r="N21" s="8"/>
    </row>
    <row r="22" customFormat="false" ht="15" hidden="false" customHeight="false" outlineLevel="0" collapsed="false">
      <c r="A22" s="9"/>
      <c r="B22" s="9"/>
      <c r="C22" s="11" t="str">
        <f aca="false">IF(B22="","",IFERROR(INDEX('Evaluación de riesgos'!$H$5:$H$204,MATCH(B22,'Evaluación de riesgos'!$A$5:$A$204,0)),"ID no encontrado"))</f>
        <v/>
      </c>
      <c r="D22" s="13" t="str">
        <f aca="false">IF(B22="","",IFERROR(INDEX('Evaluación de riesgos'!$O$5:$O$204,MATCH(B22,'Evaluación de riesgos'!$A$5:$A$204,0)),""))</f>
        <v/>
      </c>
      <c r="E22" s="8"/>
      <c r="F22" s="8"/>
      <c r="G22" s="8"/>
      <c r="H22" s="8"/>
      <c r="I22" s="14"/>
      <c r="J22" s="14"/>
      <c r="K22" s="9"/>
      <c r="L22" s="15"/>
      <c r="M22" s="13" t="str">
        <f aca="true">IF(OR(J22="",K22="Completada",K22="Cancelada"),"",IF(J22&lt;TODAY(),"Sí","No"))</f>
        <v/>
      </c>
      <c r="N22" s="8"/>
    </row>
    <row r="23" customFormat="false" ht="15" hidden="false" customHeight="false" outlineLevel="0" collapsed="false">
      <c r="A23" s="9"/>
      <c r="B23" s="9"/>
      <c r="C23" s="11" t="str">
        <f aca="false">IF(B23="","",IFERROR(INDEX('Evaluación de riesgos'!$H$5:$H$204,MATCH(B23,'Evaluación de riesgos'!$A$5:$A$204,0)),"ID no encontrado"))</f>
        <v/>
      </c>
      <c r="D23" s="13" t="str">
        <f aca="false">IF(B23="","",IFERROR(INDEX('Evaluación de riesgos'!$O$5:$O$204,MATCH(B23,'Evaluación de riesgos'!$A$5:$A$204,0)),""))</f>
        <v/>
      </c>
      <c r="E23" s="8"/>
      <c r="F23" s="8"/>
      <c r="G23" s="8"/>
      <c r="H23" s="8"/>
      <c r="I23" s="14"/>
      <c r="J23" s="14"/>
      <c r="K23" s="9"/>
      <c r="L23" s="15"/>
      <c r="M23" s="13" t="str">
        <f aca="true">IF(OR(J23="",K23="Completada",K23="Cancelada"),"",IF(J23&lt;TODAY(),"Sí","No"))</f>
        <v/>
      </c>
      <c r="N23" s="8"/>
    </row>
    <row r="24" customFormat="false" ht="15" hidden="false" customHeight="false" outlineLevel="0" collapsed="false">
      <c r="A24" s="9"/>
      <c r="B24" s="9"/>
      <c r="C24" s="11" t="str">
        <f aca="false">IF(B24="","",IFERROR(INDEX('Evaluación de riesgos'!$H$5:$H$204,MATCH(B24,'Evaluación de riesgos'!$A$5:$A$204,0)),"ID no encontrado"))</f>
        <v/>
      </c>
      <c r="D24" s="13" t="str">
        <f aca="false">IF(B24="","",IFERROR(INDEX('Evaluación de riesgos'!$O$5:$O$204,MATCH(B24,'Evaluación de riesgos'!$A$5:$A$204,0)),""))</f>
        <v/>
      </c>
      <c r="E24" s="8"/>
      <c r="F24" s="8"/>
      <c r="G24" s="8"/>
      <c r="H24" s="8"/>
      <c r="I24" s="14"/>
      <c r="J24" s="14"/>
      <c r="K24" s="9"/>
      <c r="L24" s="15"/>
      <c r="M24" s="13" t="str">
        <f aca="true">IF(OR(J24="",K24="Completada",K24="Cancelada"),"",IF(J24&lt;TODAY(),"Sí","No"))</f>
        <v/>
      </c>
      <c r="N24" s="8"/>
    </row>
    <row r="25" customFormat="false" ht="15" hidden="false" customHeight="false" outlineLevel="0" collapsed="false">
      <c r="A25" s="9"/>
      <c r="B25" s="9"/>
      <c r="C25" s="11" t="str">
        <f aca="false">IF(B25="","",IFERROR(INDEX('Evaluación de riesgos'!$H$5:$H$204,MATCH(B25,'Evaluación de riesgos'!$A$5:$A$204,0)),"ID no encontrado"))</f>
        <v/>
      </c>
      <c r="D25" s="13" t="str">
        <f aca="false">IF(B25="","",IFERROR(INDEX('Evaluación de riesgos'!$O$5:$O$204,MATCH(B25,'Evaluación de riesgos'!$A$5:$A$204,0)),""))</f>
        <v/>
      </c>
      <c r="E25" s="8"/>
      <c r="F25" s="8"/>
      <c r="G25" s="8"/>
      <c r="H25" s="8"/>
      <c r="I25" s="14"/>
      <c r="J25" s="14"/>
      <c r="K25" s="9"/>
      <c r="L25" s="15"/>
      <c r="M25" s="13" t="str">
        <f aca="true">IF(OR(J25="",K25="Completada",K25="Cancelada"),"",IF(J25&lt;TODAY(),"Sí","No"))</f>
        <v/>
      </c>
      <c r="N25" s="8"/>
    </row>
    <row r="26" customFormat="false" ht="15" hidden="false" customHeight="false" outlineLevel="0" collapsed="false">
      <c r="A26" s="9"/>
      <c r="B26" s="9"/>
      <c r="C26" s="11" t="str">
        <f aca="false">IF(B26="","",IFERROR(INDEX('Evaluación de riesgos'!$H$5:$H$204,MATCH(B26,'Evaluación de riesgos'!$A$5:$A$204,0)),"ID no encontrado"))</f>
        <v/>
      </c>
      <c r="D26" s="13" t="str">
        <f aca="false">IF(B26="","",IFERROR(INDEX('Evaluación de riesgos'!$O$5:$O$204,MATCH(B26,'Evaluación de riesgos'!$A$5:$A$204,0)),""))</f>
        <v/>
      </c>
      <c r="E26" s="8"/>
      <c r="F26" s="8"/>
      <c r="G26" s="8"/>
      <c r="H26" s="8"/>
      <c r="I26" s="14"/>
      <c r="J26" s="14"/>
      <c r="K26" s="9"/>
      <c r="L26" s="15"/>
      <c r="M26" s="13" t="str">
        <f aca="true">IF(OR(J26="",K26="Completada",K26="Cancelada"),"",IF(J26&lt;TODAY(),"Sí","No"))</f>
        <v/>
      </c>
      <c r="N26" s="8"/>
    </row>
    <row r="27" customFormat="false" ht="15" hidden="false" customHeight="false" outlineLevel="0" collapsed="false">
      <c r="A27" s="9"/>
      <c r="B27" s="9"/>
      <c r="C27" s="11" t="str">
        <f aca="false">IF(B27="","",IFERROR(INDEX('Evaluación de riesgos'!$H$5:$H$204,MATCH(B27,'Evaluación de riesgos'!$A$5:$A$204,0)),"ID no encontrado"))</f>
        <v/>
      </c>
      <c r="D27" s="13" t="str">
        <f aca="false">IF(B27="","",IFERROR(INDEX('Evaluación de riesgos'!$O$5:$O$204,MATCH(B27,'Evaluación de riesgos'!$A$5:$A$204,0)),""))</f>
        <v/>
      </c>
      <c r="E27" s="8"/>
      <c r="F27" s="8"/>
      <c r="G27" s="8"/>
      <c r="H27" s="8"/>
      <c r="I27" s="14"/>
      <c r="J27" s="14"/>
      <c r="K27" s="9"/>
      <c r="L27" s="15"/>
      <c r="M27" s="13" t="str">
        <f aca="true">IF(OR(J27="",K27="Completada",K27="Cancelada"),"",IF(J27&lt;TODAY(),"Sí","No"))</f>
        <v/>
      </c>
      <c r="N27" s="8"/>
    </row>
    <row r="28" customFormat="false" ht="15" hidden="false" customHeight="false" outlineLevel="0" collapsed="false">
      <c r="A28" s="9"/>
      <c r="B28" s="9"/>
      <c r="C28" s="11" t="str">
        <f aca="false">IF(B28="","",IFERROR(INDEX('Evaluación de riesgos'!$H$5:$H$204,MATCH(B28,'Evaluación de riesgos'!$A$5:$A$204,0)),"ID no encontrado"))</f>
        <v/>
      </c>
      <c r="D28" s="13" t="str">
        <f aca="false">IF(B28="","",IFERROR(INDEX('Evaluación de riesgos'!$O$5:$O$204,MATCH(B28,'Evaluación de riesgos'!$A$5:$A$204,0)),""))</f>
        <v/>
      </c>
      <c r="E28" s="8"/>
      <c r="F28" s="8"/>
      <c r="G28" s="8"/>
      <c r="H28" s="8"/>
      <c r="I28" s="14"/>
      <c r="J28" s="14"/>
      <c r="K28" s="9"/>
      <c r="L28" s="15"/>
      <c r="M28" s="13" t="str">
        <f aca="true">IF(OR(J28="",K28="Completada",K28="Cancelada"),"",IF(J28&lt;TODAY(),"Sí","No"))</f>
        <v/>
      </c>
      <c r="N28" s="8"/>
    </row>
    <row r="29" customFormat="false" ht="15" hidden="false" customHeight="false" outlineLevel="0" collapsed="false">
      <c r="A29" s="9"/>
      <c r="B29" s="9"/>
      <c r="C29" s="11" t="str">
        <f aca="false">IF(B29="","",IFERROR(INDEX('Evaluación de riesgos'!$H$5:$H$204,MATCH(B29,'Evaluación de riesgos'!$A$5:$A$204,0)),"ID no encontrado"))</f>
        <v/>
      </c>
      <c r="D29" s="13" t="str">
        <f aca="false">IF(B29="","",IFERROR(INDEX('Evaluación de riesgos'!$O$5:$O$204,MATCH(B29,'Evaluación de riesgos'!$A$5:$A$204,0)),""))</f>
        <v/>
      </c>
      <c r="E29" s="8"/>
      <c r="F29" s="8"/>
      <c r="G29" s="8"/>
      <c r="H29" s="8"/>
      <c r="I29" s="14"/>
      <c r="J29" s="14"/>
      <c r="K29" s="9"/>
      <c r="L29" s="15"/>
      <c r="M29" s="13" t="str">
        <f aca="true">IF(OR(J29="",K29="Completada",K29="Cancelada"),"",IF(J29&lt;TODAY(),"Sí","No"))</f>
        <v/>
      </c>
      <c r="N29" s="8"/>
    </row>
    <row r="30" customFormat="false" ht="15" hidden="false" customHeight="false" outlineLevel="0" collapsed="false">
      <c r="A30" s="9"/>
      <c r="B30" s="9"/>
      <c r="C30" s="11" t="str">
        <f aca="false">IF(B30="","",IFERROR(INDEX('Evaluación de riesgos'!$H$5:$H$204,MATCH(B30,'Evaluación de riesgos'!$A$5:$A$204,0)),"ID no encontrado"))</f>
        <v/>
      </c>
      <c r="D30" s="13" t="str">
        <f aca="false">IF(B30="","",IFERROR(INDEX('Evaluación de riesgos'!$O$5:$O$204,MATCH(B30,'Evaluación de riesgos'!$A$5:$A$204,0)),""))</f>
        <v/>
      </c>
      <c r="E30" s="8"/>
      <c r="F30" s="8"/>
      <c r="G30" s="8"/>
      <c r="H30" s="8"/>
      <c r="I30" s="14"/>
      <c r="J30" s="14"/>
      <c r="K30" s="9"/>
      <c r="L30" s="15"/>
      <c r="M30" s="13" t="str">
        <f aca="true">IF(OR(J30="",K30="Completada",K30="Cancelada"),"",IF(J30&lt;TODAY(),"Sí","No"))</f>
        <v/>
      </c>
      <c r="N30" s="8"/>
    </row>
    <row r="31" customFormat="false" ht="15" hidden="false" customHeight="false" outlineLevel="0" collapsed="false">
      <c r="A31" s="9"/>
      <c r="B31" s="9"/>
      <c r="C31" s="11" t="str">
        <f aca="false">IF(B31="","",IFERROR(INDEX('Evaluación de riesgos'!$H$5:$H$204,MATCH(B31,'Evaluación de riesgos'!$A$5:$A$204,0)),"ID no encontrado"))</f>
        <v/>
      </c>
      <c r="D31" s="13" t="str">
        <f aca="false">IF(B31="","",IFERROR(INDEX('Evaluación de riesgos'!$O$5:$O$204,MATCH(B31,'Evaluación de riesgos'!$A$5:$A$204,0)),""))</f>
        <v/>
      </c>
      <c r="E31" s="8"/>
      <c r="F31" s="8"/>
      <c r="G31" s="8"/>
      <c r="H31" s="8"/>
      <c r="I31" s="14"/>
      <c r="J31" s="14"/>
      <c r="K31" s="9"/>
      <c r="L31" s="15"/>
      <c r="M31" s="13" t="str">
        <f aca="true">IF(OR(J31="",K31="Completada",K31="Cancelada"),"",IF(J31&lt;TODAY(),"Sí","No"))</f>
        <v/>
      </c>
      <c r="N31" s="8"/>
    </row>
    <row r="32" customFormat="false" ht="15" hidden="false" customHeight="false" outlineLevel="0" collapsed="false">
      <c r="A32" s="9"/>
      <c r="B32" s="9"/>
      <c r="C32" s="11" t="str">
        <f aca="false">IF(B32="","",IFERROR(INDEX('Evaluación de riesgos'!$H$5:$H$204,MATCH(B32,'Evaluación de riesgos'!$A$5:$A$204,0)),"ID no encontrado"))</f>
        <v/>
      </c>
      <c r="D32" s="13" t="str">
        <f aca="false">IF(B32="","",IFERROR(INDEX('Evaluación de riesgos'!$O$5:$O$204,MATCH(B32,'Evaluación de riesgos'!$A$5:$A$204,0)),""))</f>
        <v/>
      </c>
      <c r="E32" s="8"/>
      <c r="F32" s="8"/>
      <c r="G32" s="8"/>
      <c r="H32" s="8"/>
      <c r="I32" s="14"/>
      <c r="J32" s="14"/>
      <c r="K32" s="9"/>
      <c r="L32" s="15"/>
      <c r="M32" s="13" t="str">
        <f aca="true">IF(OR(J32="",K32="Completada",K32="Cancelada"),"",IF(J32&lt;TODAY(),"Sí","No"))</f>
        <v/>
      </c>
      <c r="N32" s="8"/>
    </row>
    <row r="33" customFormat="false" ht="15" hidden="false" customHeight="false" outlineLevel="0" collapsed="false">
      <c r="A33" s="9"/>
      <c r="B33" s="9"/>
      <c r="C33" s="11" t="str">
        <f aca="false">IF(B33="","",IFERROR(INDEX('Evaluación de riesgos'!$H$5:$H$204,MATCH(B33,'Evaluación de riesgos'!$A$5:$A$204,0)),"ID no encontrado"))</f>
        <v/>
      </c>
      <c r="D33" s="13" t="str">
        <f aca="false">IF(B33="","",IFERROR(INDEX('Evaluación de riesgos'!$O$5:$O$204,MATCH(B33,'Evaluación de riesgos'!$A$5:$A$204,0)),""))</f>
        <v/>
      </c>
      <c r="E33" s="8"/>
      <c r="F33" s="8"/>
      <c r="G33" s="8"/>
      <c r="H33" s="8"/>
      <c r="I33" s="14"/>
      <c r="J33" s="14"/>
      <c r="K33" s="9"/>
      <c r="L33" s="15"/>
      <c r="M33" s="13" t="str">
        <f aca="true">IF(OR(J33="",K33="Completada",K33="Cancelada"),"",IF(J33&lt;TODAY(),"Sí","No"))</f>
        <v/>
      </c>
      <c r="N33" s="8"/>
    </row>
    <row r="34" customFormat="false" ht="15" hidden="false" customHeight="false" outlineLevel="0" collapsed="false">
      <c r="A34" s="9"/>
      <c r="B34" s="9"/>
      <c r="C34" s="11" t="str">
        <f aca="false">IF(B34="","",IFERROR(INDEX('Evaluación de riesgos'!$H$5:$H$204,MATCH(B34,'Evaluación de riesgos'!$A$5:$A$204,0)),"ID no encontrado"))</f>
        <v/>
      </c>
      <c r="D34" s="13" t="str">
        <f aca="false">IF(B34="","",IFERROR(INDEX('Evaluación de riesgos'!$O$5:$O$204,MATCH(B34,'Evaluación de riesgos'!$A$5:$A$204,0)),""))</f>
        <v/>
      </c>
      <c r="E34" s="8"/>
      <c r="F34" s="8"/>
      <c r="G34" s="8"/>
      <c r="H34" s="8"/>
      <c r="I34" s="14"/>
      <c r="J34" s="14"/>
      <c r="K34" s="9"/>
      <c r="L34" s="15"/>
      <c r="M34" s="13" t="str">
        <f aca="true">IF(OR(J34="",K34="Completada",K34="Cancelada"),"",IF(J34&lt;TODAY(),"Sí","No"))</f>
        <v/>
      </c>
      <c r="N34" s="8"/>
    </row>
    <row r="35" customFormat="false" ht="15" hidden="false" customHeight="false" outlineLevel="0" collapsed="false">
      <c r="A35" s="9"/>
      <c r="B35" s="9"/>
      <c r="C35" s="11" t="str">
        <f aca="false">IF(B35="","",IFERROR(INDEX('Evaluación de riesgos'!$H$5:$H$204,MATCH(B35,'Evaluación de riesgos'!$A$5:$A$204,0)),"ID no encontrado"))</f>
        <v/>
      </c>
      <c r="D35" s="13" t="str">
        <f aca="false">IF(B35="","",IFERROR(INDEX('Evaluación de riesgos'!$O$5:$O$204,MATCH(B35,'Evaluación de riesgos'!$A$5:$A$204,0)),""))</f>
        <v/>
      </c>
      <c r="E35" s="8"/>
      <c r="F35" s="8"/>
      <c r="G35" s="8"/>
      <c r="H35" s="8"/>
      <c r="I35" s="14"/>
      <c r="J35" s="14"/>
      <c r="K35" s="9"/>
      <c r="L35" s="15"/>
      <c r="M35" s="13" t="str">
        <f aca="true">IF(OR(J35="",K35="Completada",K35="Cancelada"),"",IF(J35&lt;TODAY(),"Sí","No"))</f>
        <v/>
      </c>
      <c r="N35" s="8"/>
    </row>
    <row r="36" customFormat="false" ht="15" hidden="false" customHeight="false" outlineLevel="0" collapsed="false">
      <c r="A36" s="9"/>
      <c r="B36" s="9"/>
      <c r="C36" s="11" t="str">
        <f aca="false">IF(B36="","",IFERROR(INDEX('Evaluación de riesgos'!$H$5:$H$204,MATCH(B36,'Evaluación de riesgos'!$A$5:$A$204,0)),"ID no encontrado"))</f>
        <v/>
      </c>
      <c r="D36" s="13" t="str">
        <f aca="false">IF(B36="","",IFERROR(INDEX('Evaluación de riesgos'!$O$5:$O$204,MATCH(B36,'Evaluación de riesgos'!$A$5:$A$204,0)),""))</f>
        <v/>
      </c>
      <c r="E36" s="8"/>
      <c r="F36" s="8"/>
      <c r="G36" s="8"/>
      <c r="H36" s="8"/>
      <c r="I36" s="14"/>
      <c r="J36" s="14"/>
      <c r="K36" s="9"/>
      <c r="L36" s="15"/>
      <c r="M36" s="13" t="str">
        <f aca="true">IF(OR(J36="",K36="Completada",K36="Cancelada"),"",IF(J36&lt;TODAY(),"Sí","No"))</f>
        <v/>
      </c>
      <c r="N36" s="8"/>
    </row>
    <row r="37" customFormat="false" ht="15" hidden="false" customHeight="false" outlineLevel="0" collapsed="false">
      <c r="A37" s="9"/>
      <c r="B37" s="9"/>
      <c r="C37" s="11" t="str">
        <f aca="false">IF(B37="","",IFERROR(INDEX('Evaluación de riesgos'!$H$5:$H$204,MATCH(B37,'Evaluación de riesgos'!$A$5:$A$204,0)),"ID no encontrado"))</f>
        <v/>
      </c>
      <c r="D37" s="13" t="str">
        <f aca="false">IF(B37="","",IFERROR(INDEX('Evaluación de riesgos'!$O$5:$O$204,MATCH(B37,'Evaluación de riesgos'!$A$5:$A$204,0)),""))</f>
        <v/>
      </c>
      <c r="E37" s="8"/>
      <c r="F37" s="8"/>
      <c r="G37" s="8"/>
      <c r="H37" s="8"/>
      <c r="I37" s="14"/>
      <c r="J37" s="14"/>
      <c r="K37" s="9"/>
      <c r="L37" s="15"/>
      <c r="M37" s="13" t="str">
        <f aca="true">IF(OR(J37="",K37="Completada",K37="Cancelada"),"",IF(J37&lt;TODAY(),"Sí","No"))</f>
        <v/>
      </c>
      <c r="N37" s="8"/>
    </row>
    <row r="38" customFormat="false" ht="15" hidden="false" customHeight="false" outlineLevel="0" collapsed="false">
      <c r="A38" s="9"/>
      <c r="B38" s="9"/>
      <c r="C38" s="11" t="str">
        <f aca="false">IF(B38="","",IFERROR(INDEX('Evaluación de riesgos'!$H$5:$H$204,MATCH(B38,'Evaluación de riesgos'!$A$5:$A$204,0)),"ID no encontrado"))</f>
        <v/>
      </c>
      <c r="D38" s="13" t="str">
        <f aca="false">IF(B38="","",IFERROR(INDEX('Evaluación de riesgos'!$O$5:$O$204,MATCH(B38,'Evaluación de riesgos'!$A$5:$A$204,0)),""))</f>
        <v/>
      </c>
      <c r="E38" s="8"/>
      <c r="F38" s="8"/>
      <c r="G38" s="8"/>
      <c r="H38" s="8"/>
      <c r="I38" s="14"/>
      <c r="J38" s="14"/>
      <c r="K38" s="9"/>
      <c r="L38" s="15"/>
      <c r="M38" s="13" t="str">
        <f aca="true">IF(OR(J38="",K38="Completada",K38="Cancelada"),"",IF(J38&lt;TODAY(),"Sí","No"))</f>
        <v/>
      </c>
      <c r="N38" s="8"/>
    </row>
    <row r="39" customFormat="false" ht="15" hidden="false" customHeight="false" outlineLevel="0" collapsed="false">
      <c r="A39" s="9"/>
      <c r="B39" s="9"/>
      <c r="C39" s="11" t="str">
        <f aca="false">IF(B39="","",IFERROR(INDEX('Evaluación de riesgos'!$H$5:$H$204,MATCH(B39,'Evaluación de riesgos'!$A$5:$A$204,0)),"ID no encontrado"))</f>
        <v/>
      </c>
      <c r="D39" s="13" t="str">
        <f aca="false">IF(B39="","",IFERROR(INDEX('Evaluación de riesgos'!$O$5:$O$204,MATCH(B39,'Evaluación de riesgos'!$A$5:$A$204,0)),""))</f>
        <v/>
      </c>
      <c r="E39" s="8"/>
      <c r="F39" s="8"/>
      <c r="G39" s="8"/>
      <c r="H39" s="8"/>
      <c r="I39" s="14"/>
      <c r="J39" s="14"/>
      <c r="K39" s="9"/>
      <c r="L39" s="15"/>
      <c r="M39" s="13" t="str">
        <f aca="true">IF(OR(J39="",K39="Completada",K39="Cancelada"),"",IF(J39&lt;TODAY(),"Sí","No"))</f>
        <v/>
      </c>
      <c r="N39" s="8"/>
    </row>
    <row r="40" customFormat="false" ht="15" hidden="false" customHeight="false" outlineLevel="0" collapsed="false">
      <c r="A40" s="9"/>
      <c r="B40" s="9"/>
      <c r="C40" s="11" t="str">
        <f aca="false">IF(B40="","",IFERROR(INDEX('Evaluación de riesgos'!$H$5:$H$204,MATCH(B40,'Evaluación de riesgos'!$A$5:$A$204,0)),"ID no encontrado"))</f>
        <v/>
      </c>
      <c r="D40" s="13" t="str">
        <f aca="false">IF(B40="","",IFERROR(INDEX('Evaluación de riesgos'!$O$5:$O$204,MATCH(B40,'Evaluación de riesgos'!$A$5:$A$204,0)),""))</f>
        <v/>
      </c>
      <c r="E40" s="8"/>
      <c r="F40" s="8"/>
      <c r="G40" s="8"/>
      <c r="H40" s="8"/>
      <c r="I40" s="14"/>
      <c r="J40" s="14"/>
      <c r="K40" s="9"/>
      <c r="L40" s="15"/>
      <c r="M40" s="13" t="str">
        <f aca="true">IF(OR(J40="",K40="Completada",K40="Cancelada"),"",IF(J40&lt;TODAY(),"Sí","No"))</f>
        <v/>
      </c>
      <c r="N40" s="8"/>
    </row>
    <row r="41" customFormat="false" ht="15" hidden="false" customHeight="false" outlineLevel="0" collapsed="false">
      <c r="A41" s="9"/>
      <c r="B41" s="9"/>
      <c r="C41" s="11" t="str">
        <f aca="false">IF(B41="","",IFERROR(INDEX('Evaluación de riesgos'!$H$5:$H$204,MATCH(B41,'Evaluación de riesgos'!$A$5:$A$204,0)),"ID no encontrado"))</f>
        <v/>
      </c>
      <c r="D41" s="13" t="str">
        <f aca="false">IF(B41="","",IFERROR(INDEX('Evaluación de riesgos'!$O$5:$O$204,MATCH(B41,'Evaluación de riesgos'!$A$5:$A$204,0)),""))</f>
        <v/>
      </c>
      <c r="E41" s="8"/>
      <c r="F41" s="8"/>
      <c r="G41" s="8"/>
      <c r="H41" s="8"/>
      <c r="I41" s="14"/>
      <c r="J41" s="14"/>
      <c r="K41" s="9"/>
      <c r="L41" s="15"/>
      <c r="M41" s="13" t="str">
        <f aca="true">IF(OR(J41="",K41="Completada",K41="Cancelada"),"",IF(J41&lt;TODAY(),"Sí","No"))</f>
        <v/>
      </c>
      <c r="N41" s="8"/>
    </row>
    <row r="42" customFormat="false" ht="15" hidden="false" customHeight="false" outlineLevel="0" collapsed="false">
      <c r="A42" s="9"/>
      <c r="B42" s="9"/>
      <c r="C42" s="11" t="str">
        <f aca="false">IF(B42="","",IFERROR(INDEX('Evaluación de riesgos'!$H$5:$H$204,MATCH(B42,'Evaluación de riesgos'!$A$5:$A$204,0)),"ID no encontrado"))</f>
        <v/>
      </c>
      <c r="D42" s="13" t="str">
        <f aca="false">IF(B42="","",IFERROR(INDEX('Evaluación de riesgos'!$O$5:$O$204,MATCH(B42,'Evaluación de riesgos'!$A$5:$A$204,0)),""))</f>
        <v/>
      </c>
      <c r="E42" s="8"/>
      <c r="F42" s="8"/>
      <c r="G42" s="8"/>
      <c r="H42" s="8"/>
      <c r="I42" s="14"/>
      <c r="J42" s="14"/>
      <c r="K42" s="9"/>
      <c r="L42" s="15"/>
      <c r="M42" s="13" t="str">
        <f aca="true">IF(OR(J42="",K42="Completada",K42="Cancelada"),"",IF(J42&lt;TODAY(),"Sí","No"))</f>
        <v/>
      </c>
      <c r="N42" s="8"/>
    </row>
    <row r="43" customFormat="false" ht="15" hidden="false" customHeight="false" outlineLevel="0" collapsed="false">
      <c r="A43" s="9"/>
      <c r="B43" s="9"/>
      <c r="C43" s="11" t="str">
        <f aca="false">IF(B43="","",IFERROR(INDEX('Evaluación de riesgos'!$H$5:$H$204,MATCH(B43,'Evaluación de riesgos'!$A$5:$A$204,0)),"ID no encontrado"))</f>
        <v/>
      </c>
      <c r="D43" s="13" t="str">
        <f aca="false">IF(B43="","",IFERROR(INDEX('Evaluación de riesgos'!$O$5:$O$204,MATCH(B43,'Evaluación de riesgos'!$A$5:$A$204,0)),""))</f>
        <v/>
      </c>
      <c r="E43" s="8"/>
      <c r="F43" s="8"/>
      <c r="G43" s="8"/>
      <c r="H43" s="8"/>
      <c r="I43" s="14"/>
      <c r="J43" s="14"/>
      <c r="K43" s="9"/>
      <c r="L43" s="15"/>
      <c r="M43" s="13" t="str">
        <f aca="true">IF(OR(J43="",K43="Completada",K43="Cancelada"),"",IF(J43&lt;TODAY(),"Sí","No"))</f>
        <v/>
      </c>
      <c r="N43" s="8"/>
    </row>
    <row r="44" customFormat="false" ht="15" hidden="false" customHeight="false" outlineLevel="0" collapsed="false">
      <c r="A44" s="9"/>
      <c r="B44" s="9"/>
      <c r="C44" s="11" t="str">
        <f aca="false">IF(B44="","",IFERROR(INDEX('Evaluación de riesgos'!$H$5:$H$204,MATCH(B44,'Evaluación de riesgos'!$A$5:$A$204,0)),"ID no encontrado"))</f>
        <v/>
      </c>
      <c r="D44" s="13" t="str">
        <f aca="false">IF(B44="","",IFERROR(INDEX('Evaluación de riesgos'!$O$5:$O$204,MATCH(B44,'Evaluación de riesgos'!$A$5:$A$204,0)),""))</f>
        <v/>
      </c>
      <c r="E44" s="8"/>
      <c r="F44" s="8"/>
      <c r="G44" s="8"/>
      <c r="H44" s="8"/>
      <c r="I44" s="14"/>
      <c r="J44" s="14"/>
      <c r="K44" s="9"/>
      <c r="L44" s="15"/>
      <c r="M44" s="13" t="str">
        <f aca="true">IF(OR(J44="",K44="Completada",K44="Cancelada"),"",IF(J44&lt;TODAY(),"Sí","No"))</f>
        <v/>
      </c>
      <c r="N44" s="8"/>
    </row>
    <row r="45" customFormat="false" ht="15" hidden="false" customHeight="false" outlineLevel="0" collapsed="false">
      <c r="A45" s="9"/>
      <c r="B45" s="9"/>
      <c r="C45" s="11" t="str">
        <f aca="false">IF(B45="","",IFERROR(INDEX('Evaluación de riesgos'!$H$5:$H$204,MATCH(B45,'Evaluación de riesgos'!$A$5:$A$204,0)),"ID no encontrado"))</f>
        <v/>
      </c>
      <c r="D45" s="13" t="str">
        <f aca="false">IF(B45="","",IFERROR(INDEX('Evaluación de riesgos'!$O$5:$O$204,MATCH(B45,'Evaluación de riesgos'!$A$5:$A$204,0)),""))</f>
        <v/>
      </c>
      <c r="E45" s="8"/>
      <c r="F45" s="8"/>
      <c r="G45" s="8"/>
      <c r="H45" s="8"/>
      <c r="I45" s="14"/>
      <c r="J45" s="14"/>
      <c r="K45" s="9"/>
      <c r="L45" s="15"/>
      <c r="M45" s="13" t="str">
        <f aca="true">IF(OR(J45="",K45="Completada",K45="Cancelada"),"",IF(J45&lt;TODAY(),"Sí","No"))</f>
        <v/>
      </c>
      <c r="N45" s="8"/>
    </row>
    <row r="46" customFormat="false" ht="15" hidden="false" customHeight="false" outlineLevel="0" collapsed="false">
      <c r="A46" s="9"/>
      <c r="B46" s="9"/>
      <c r="C46" s="11" t="str">
        <f aca="false">IF(B46="","",IFERROR(INDEX('Evaluación de riesgos'!$H$5:$H$204,MATCH(B46,'Evaluación de riesgos'!$A$5:$A$204,0)),"ID no encontrado"))</f>
        <v/>
      </c>
      <c r="D46" s="13" t="str">
        <f aca="false">IF(B46="","",IFERROR(INDEX('Evaluación de riesgos'!$O$5:$O$204,MATCH(B46,'Evaluación de riesgos'!$A$5:$A$204,0)),""))</f>
        <v/>
      </c>
      <c r="E46" s="8"/>
      <c r="F46" s="8"/>
      <c r="G46" s="8"/>
      <c r="H46" s="8"/>
      <c r="I46" s="14"/>
      <c r="J46" s="14"/>
      <c r="K46" s="9"/>
      <c r="L46" s="15"/>
      <c r="M46" s="13" t="str">
        <f aca="true">IF(OR(J46="",K46="Completada",K46="Cancelada"),"",IF(J46&lt;TODAY(),"Sí","No"))</f>
        <v/>
      </c>
      <c r="N46" s="8"/>
    </row>
    <row r="47" customFormat="false" ht="15" hidden="false" customHeight="false" outlineLevel="0" collapsed="false">
      <c r="A47" s="9"/>
      <c r="B47" s="9"/>
      <c r="C47" s="11" t="str">
        <f aca="false">IF(B47="","",IFERROR(INDEX('Evaluación de riesgos'!$H$5:$H$204,MATCH(B47,'Evaluación de riesgos'!$A$5:$A$204,0)),"ID no encontrado"))</f>
        <v/>
      </c>
      <c r="D47" s="13" t="str">
        <f aca="false">IF(B47="","",IFERROR(INDEX('Evaluación de riesgos'!$O$5:$O$204,MATCH(B47,'Evaluación de riesgos'!$A$5:$A$204,0)),""))</f>
        <v/>
      </c>
      <c r="E47" s="8"/>
      <c r="F47" s="8"/>
      <c r="G47" s="8"/>
      <c r="H47" s="8"/>
      <c r="I47" s="14"/>
      <c r="J47" s="14"/>
      <c r="K47" s="9"/>
      <c r="L47" s="15"/>
      <c r="M47" s="13" t="str">
        <f aca="true">IF(OR(J47="",K47="Completada",K47="Cancelada"),"",IF(J47&lt;TODAY(),"Sí","No"))</f>
        <v/>
      </c>
      <c r="N47" s="8"/>
    </row>
    <row r="48" customFormat="false" ht="15" hidden="false" customHeight="false" outlineLevel="0" collapsed="false">
      <c r="A48" s="9"/>
      <c r="B48" s="9"/>
      <c r="C48" s="11" t="str">
        <f aca="false">IF(B48="","",IFERROR(INDEX('Evaluación de riesgos'!$H$5:$H$204,MATCH(B48,'Evaluación de riesgos'!$A$5:$A$204,0)),"ID no encontrado"))</f>
        <v/>
      </c>
      <c r="D48" s="13" t="str">
        <f aca="false">IF(B48="","",IFERROR(INDEX('Evaluación de riesgos'!$O$5:$O$204,MATCH(B48,'Evaluación de riesgos'!$A$5:$A$204,0)),""))</f>
        <v/>
      </c>
      <c r="E48" s="8"/>
      <c r="F48" s="8"/>
      <c r="G48" s="8"/>
      <c r="H48" s="8"/>
      <c r="I48" s="14"/>
      <c r="J48" s="14"/>
      <c r="K48" s="9"/>
      <c r="L48" s="15"/>
      <c r="M48" s="13" t="str">
        <f aca="true">IF(OR(J48="",K48="Completada",K48="Cancelada"),"",IF(J48&lt;TODAY(),"Sí","No"))</f>
        <v/>
      </c>
      <c r="N48" s="8"/>
    </row>
    <row r="49" customFormat="false" ht="15" hidden="false" customHeight="false" outlineLevel="0" collapsed="false">
      <c r="A49" s="9"/>
      <c r="B49" s="9"/>
      <c r="C49" s="11" t="str">
        <f aca="false">IF(B49="","",IFERROR(INDEX('Evaluación de riesgos'!$H$5:$H$204,MATCH(B49,'Evaluación de riesgos'!$A$5:$A$204,0)),"ID no encontrado"))</f>
        <v/>
      </c>
      <c r="D49" s="13" t="str">
        <f aca="false">IF(B49="","",IFERROR(INDEX('Evaluación de riesgos'!$O$5:$O$204,MATCH(B49,'Evaluación de riesgos'!$A$5:$A$204,0)),""))</f>
        <v/>
      </c>
      <c r="E49" s="8"/>
      <c r="F49" s="8"/>
      <c r="G49" s="8"/>
      <c r="H49" s="8"/>
      <c r="I49" s="14"/>
      <c r="J49" s="14"/>
      <c r="K49" s="9"/>
      <c r="L49" s="15"/>
      <c r="M49" s="13" t="str">
        <f aca="true">IF(OR(J49="",K49="Completada",K49="Cancelada"),"",IF(J49&lt;TODAY(),"Sí","No"))</f>
        <v/>
      </c>
      <c r="N49" s="8"/>
    </row>
    <row r="50" customFormat="false" ht="15" hidden="false" customHeight="false" outlineLevel="0" collapsed="false">
      <c r="A50" s="9"/>
      <c r="B50" s="9"/>
      <c r="C50" s="11" t="str">
        <f aca="false">IF(B50="","",IFERROR(INDEX('Evaluación de riesgos'!$H$5:$H$204,MATCH(B50,'Evaluación de riesgos'!$A$5:$A$204,0)),"ID no encontrado"))</f>
        <v/>
      </c>
      <c r="D50" s="13" t="str">
        <f aca="false">IF(B50="","",IFERROR(INDEX('Evaluación de riesgos'!$O$5:$O$204,MATCH(B50,'Evaluación de riesgos'!$A$5:$A$204,0)),""))</f>
        <v/>
      </c>
      <c r="E50" s="8"/>
      <c r="F50" s="8"/>
      <c r="G50" s="8"/>
      <c r="H50" s="8"/>
      <c r="I50" s="14"/>
      <c r="J50" s="14"/>
      <c r="K50" s="9"/>
      <c r="L50" s="15"/>
      <c r="M50" s="13" t="str">
        <f aca="true">IF(OR(J50="",K50="Completada",K50="Cancelada"),"",IF(J50&lt;TODAY(),"Sí","No"))</f>
        <v/>
      </c>
      <c r="N50" s="8"/>
    </row>
    <row r="51" customFormat="false" ht="15" hidden="false" customHeight="false" outlineLevel="0" collapsed="false">
      <c r="A51" s="9"/>
      <c r="B51" s="9"/>
      <c r="C51" s="11" t="str">
        <f aca="false">IF(B51="","",IFERROR(INDEX('Evaluación de riesgos'!$H$5:$H$204,MATCH(B51,'Evaluación de riesgos'!$A$5:$A$204,0)),"ID no encontrado"))</f>
        <v/>
      </c>
      <c r="D51" s="13" t="str">
        <f aca="false">IF(B51="","",IFERROR(INDEX('Evaluación de riesgos'!$O$5:$O$204,MATCH(B51,'Evaluación de riesgos'!$A$5:$A$204,0)),""))</f>
        <v/>
      </c>
      <c r="E51" s="8"/>
      <c r="F51" s="8"/>
      <c r="G51" s="8"/>
      <c r="H51" s="8"/>
      <c r="I51" s="14"/>
      <c r="J51" s="14"/>
      <c r="K51" s="9"/>
      <c r="L51" s="15"/>
      <c r="M51" s="13" t="str">
        <f aca="true">IF(OR(J51="",K51="Completada",K51="Cancelada"),"",IF(J51&lt;TODAY(),"Sí","No"))</f>
        <v/>
      </c>
      <c r="N51" s="8"/>
    </row>
    <row r="52" customFormat="false" ht="15" hidden="false" customHeight="false" outlineLevel="0" collapsed="false">
      <c r="A52" s="9"/>
      <c r="B52" s="9"/>
      <c r="C52" s="11" t="str">
        <f aca="false">IF(B52="","",IFERROR(INDEX('Evaluación de riesgos'!$H$5:$H$204,MATCH(B52,'Evaluación de riesgos'!$A$5:$A$204,0)),"ID no encontrado"))</f>
        <v/>
      </c>
      <c r="D52" s="13" t="str">
        <f aca="false">IF(B52="","",IFERROR(INDEX('Evaluación de riesgos'!$O$5:$O$204,MATCH(B52,'Evaluación de riesgos'!$A$5:$A$204,0)),""))</f>
        <v/>
      </c>
      <c r="E52" s="8"/>
      <c r="F52" s="8"/>
      <c r="G52" s="8"/>
      <c r="H52" s="8"/>
      <c r="I52" s="14"/>
      <c r="J52" s="14"/>
      <c r="K52" s="9"/>
      <c r="L52" s="15"/>
      <c r="M52" s="13" t="str">
        <f aca="true">IF(OR(J52="",K52="Completada",K52="Cancelada"),"",IF(J52&lt;TODAY(),"Sí","No"))</f>
        <v/>
      </c>
      <c r="N52" s="8"/>
    </row>
    <row r="53" customFormat="false" ht="15" hidden="false" customHeight="false" outlineLevel="0" collapsed="false">
      <c r="A53" s="9"/>
      <c r="B53" s="9"/>
      <c r="C53" s="11" t="str">
        <f aca="false">IF(B53="","",IFERROR(INDEX('Evaluación de riesgos'!$H$5:$H$204,MATCH(B53,'Evaluación de riesgos'!$A$5:$A$204,0)),"ID no encontrado"))</f>
        <v/>
      </c>
      <c r="D53" s="13" t="str">
        <f aca="false">IF(B53="","",IFERROR(INDEX('Evaluación de riesgos'!$O$5:$O$204,MATCH(B53,'Evaluación de riesgos'!$A$5:$A$204,0)),""))</f>
        <v/>
      </c>
      <c r="E53" s="8"/>
      <c r="F53" s="8"/>
      <c r="G53" s="8"/>
      <c r="H53" s="8"/>
      <c r="I53" s="14"/>
      <c r="J53" s="14"/>
      <c r="K53" s="9"/>
      <c r="L53" s="15"/>
      <c r="M53" s="13" t="str">
        <f aca="true">IF(OR(J53="",K53="Completada",K53="Cancelada"),"",IF(J53&lt;TODAY(),"Sí","No"))</f>
        <v/>
      </c>
      <c r="N53" s="8"/>
    </row>
    <row r="54" customFormat="false" ht="15" hidden="false" customHeight="false" outlineLevel="0" collapsed="false">
      <c r="A54" s="9"/>
      <c r="B54" s="9"/>
      <c r="C54" s="11" t="str">
        <f aca="false">IF(B54="","",IFERROR(INDEX('Evaluación de riesgos'!$H$5:$H$204,MATCH(B54,'Evaluación de riesgos'!$A$5:$A$204,0)),"ID no encontrado"))</f>
        <v/>
      </c>
      <c r="D54" s="13" t="str">
        <f aca="false">IF(B54="","",IFERROR(INDEX('Evaluación de riesgos'!$O$5:$O$204,MATCH(B54,'Evaluación de riesgos'!$A$5:$A$204,0)),""))</f>
        <v/>
      </c>
      <c r="E54" s="8"/>
      <c r="F54" s="8"/>
      <c r="G54" s="8"/>
      <c r="H54" s="8"/>
      <c r="I54" s="14"/>
      <c r="J54" s="14"/>
      <c r="K54" s="9"/>
      <c r="L54" s="15"/>
      <c r="M54" s="13" t="str">
        <f aca="true">IF(OR(J54="",K54="Completada",K54="Cancelada"),"",IF(J54&lt;TODAY(),"Sí","No"))</f>
        <v/>
      </c>
      <c r="N54" s="8"/>
    </row>
    <row r="55" customFormat="false" ht="15" hidden="false" customHeight="false" outlineLevel="0" collapsed="false">
      <c r="A55" s="9"/>
      <c r="B55" s="9"/>
      <c r="C55" s="11" t="str">
        <f aca="false">IF(B55="","",IFERROR(INDEX('Evaluación de riesgos'!$H$5:$H$204,MATCH(B55,'Evaluación de riesgos'!$A$5:$A$204,0)),"ID no encontrado"))</f>
        <v/>
      </c>
      <c r="D55" s="13" t="str">
        <f aca="false">IF(B55="","",IFERROR(INDEX('Evaluación de riesgos'!$O$5:$O$204,MATCH(B55,'Evaluación de riesgos'!$A$5:$A$204,0)),""))</f>
        <v/>
      </c>
      <c r="E55" s="8"/>
      <c r="F55" s="8"/>
      <c r="G55" s="8"/>
      <c r="H55" s="8"/>
      <c r="I55" s="14"/>
      <c r="J55" s="14"/>
      <c r="K55" s="9"/>
      <c r="L55" s="15"/>
      <c r="M55" s="13" t="str">
        <f aca="true">IF(OR(J55="",K55="Completada",K55="Cancelada"),"",IF(J55&lt;TODAY(),"Sí","No"))</f>
        <v/>
      </c>
      <c r="N55" s="8"/>
    </row>
    <row r="56" customFormat="false" ht="15" hidden="false" customHeight="false" outlineLevel="0" collapsed="false">
      <c r="A56" s="9"/>
      <c r="B56" s="9"/>
      <c r="C56" s="11" t="str">
        <f aca="false">IF(B56="","",IFERROR(INDEX('Evaluación de riesgos'!$H$5:$H$204,MATCH(B56,'Evaluación de riesgos'!$A$5:$A$204,0)),"ID no encontrado"))</f>
        <v/>
      </c>
      <c r="D56" s="13" t="str">
        <f aca="false">IF(B56="","",IFERROR(INDEX('Evaluación de riesgos'!$O$5:$O$204,MATCH(B56,'Evaluación de riesgos'!$A$5:$A$204,0)),""))</f>
        <v/>
      </c>
      <c r="E56" s="8"/>
      <c r="F56" s="8"/>
      <c r="G56" s="8"/>
      <c r="H56" s="8"/>
      <c r="I56" s="14"/>
      <c r="J56" s="14"/>
      <c r="K56" s="9"/>
      <c r="L56" s="15"/>
      <c r="M56" s="13" t="str">
        <f aca="true">IF(OR(J56="",K56="Completada",K56="Cancelada"),"",IF(J56&lt;TODAY(),"Sí","No"))</f>
        <v/>
      </c>
      <c r="N56" s="8"/>
    </row>
    <row r="57" customFormat="false" ht="15" hidden="false" customHeight="false" outlineLevel="0" collapsed="false">
      <c r="A57" s="9"/>
      <c r="B57" s="9"/>
      <c r="C57" s="11" t="str">
        <f aca="false">IF(B57="","",IFERROR(INDEX('Evaluación de riesgos'!$H$5:$H$204,MATCH(B57,'Evaluación de riesgos'!$A$5:$A$204,0)),"ID no encontrado"))</f>
        <v/>
      </c>
      <c r="D57" s="13" t="str">
        <f aca="false">IF(B57="","",IFERROR(INDEX('Evaluación de riesgos'!$O$5:$O$204,MATCH(B57,'Evaluación de riesgos'!$A$5:$A$204,0)),""))</f>
        <v/>
      </c>
      <c r="E57" s="8"/>
      <c r="F57" s="8"/>
      <c r="G57" s="8"/>
      <c r="H57" s="8"/>
      <c r="I57" s="14"/>
      <c r="J57" s="14"/>
      <c r="K57" s="9"/>
      <c r="L57" s="15"/>
      <c r="M57" s="13" t="str">
        <f aca="true">IF(OR(J57="",K57="Completada",K57="Cancelada"),"",IF(J57&lt;TODAY(),"Sí","No"))</f>
        <v/>
      </c>
      <c r="N57" s="8"/>
    </row>
    <row r="58" customFormat="false" ht="15" hidden="false" customHeight="false" outlineLevel="0" collapsed="false">
      <c r="A58" s="9"/>
      <c r="B58" s="9"/>
      <c r="C58" s="11" t="str">
        <f aca="false">IF(B58="","",IFERROR(INDEX('Evaluación de riesgos'!$H$5:$H$204,MATCH(B58,'Evaluación de riesgos'!$A$5:$A$204,0)),"ID no encontrado"))</f>
        <v/>
      </c>
      <c r="D58" s="13" t="str">
        <f aca="false">IF(B58="","",IFERROR(INDEX('Evaluación de riesgos'!$O$5:$O$204,MATCH(B58,'Evaluación de riesgos'!$A$5:$A$204,0)),""))</f>
        <v/>
      </c>
      <c r="E58" s="8"/>
      <c r="F58" s="8"/>
      <c r="G58" s="8"/>
      <c r="H58" s="8"/>
      <c r="I58" s="14"/>
      <c r="J58" s="14"/>
      <c r="K58" s="9"/>
      <c r="L58" s="15"/>
      <c r="M58" s="13" t="str">
        <f aca="true">IF(OR(J58="",K58="Completada",K58="Cancelada"),"",IF(J58&lt;TODAY(),"Sí","No"))</f>
        <v/>
      </c>
      <c r="N58" s="8"/>
    </row>
    <row r="59" customFormat="false" ht="15" hidden="false" customHeight="false" outlineLevel="0" collapsed="false">
      <c r="A59" s="9"/>
      <c r="B59" s="9"/>
      <c r="C59" s="11" t="str">
        <f aca="false">IF(B59="","",IFERROR(INDEX('Evaluación de riesgos'!$H$5:$H$204,MATCH(B59,'Evaluación de riesgos'!$A$5:$A$204,0)),"ID no encontrado"))</f>
        <v/>
      </c>
      <c r="D59" s="13" t="str">
        <f aca="false">IF(B59="","",IFERROR(INDEX('Evaluación de riesgos'!$O$5:$O$204,MATCH(B59,'Evaluación de riesgos'!$A$5:$A$204,0)),""))</f>
        <v/>
      </c>
      <c r="E59" s="8"/>
      <c r="F59" s="8"/>
      <c r="G59" s="8"/>
      <c r="H59" s="8"/>
      <c r="I59" s="14"/>
      <c r="J59" s="14"/>
      <c r="K59" s="9"/>
      <c r="L59" s="15"/>
      <c r="M59" s="13" t="str">
        <f aca="true">IF(OR(J59="",K59="Completada",K59="Cancelada"),"",IF(J59&lt;TODAY(),"Sí","No"))</f>
        <v/>
      </c>
      <c r="N59" s="8"/>
    </row>
    <row r="60" customFormat="false" ht="15" hidden="false" customHeight="false" outlineLevel="0" collapsed="false">
      <c r="A60" s="9"/>
      <c r="B60" s="9"/>
      <c r="C60" s="11" t="str">
        <f aca="false">IF(B60="","",IFERROR(INDEX('Evaluación de riesgos'!$H$5:$H$204,MATCH(B60,'Evaluación de riesgos'!$A$5:$A$204,0)),"ID no encontrado"))</f>
        <v/>
      </c>
      <c r="D60" s="13" t="str">
        <f aca="false">IF(B60="","",IFERROR(INDEX('Evaluación de riesgos'!$O$5:$O$204,MATCH(B60,'Evaluación de riesgos'!$A$5:$A$204,0)),""))</f>
        <v/>
      </c>
      <c r="E60" s="8"/>
      <c r="F60" s="8"/>
      <c r="G60" s="8"/>
      <c r="H60" s="8"/>
      <c r="I60" s="14"/>
      <c r="J60" s="14"/>
      <c r="K60" s="9"/>
      <c r="L60" s="15"/>
      <c r="M60" s="13" t="str">
        <f aca="true">IF(OR(J60="",K60="Completada",K60="Cancelada"),"",IF(J60&lt;TODAY(),"Sí","No"))</f>
        <v/>
      </c>
      <c r="N60" s="8"/>
    </row>
    <row r="61" customFormat="false" ht="15" hidden="false" customHeight="false" outlineLevel="0" collapsed="false">
      <c r="A61" s="9"/>
      <c r="B61" s="9"/>
      <c r="C61" s="11" t="str">
        <f aca="false">IF(B61="","",IFERROR(INDEX('Evaluación de riesgos'!$H$5:$H$204,MATCH(B61,'Evaluación de riesgos'!$A$5:$A$204,0)),"ID no encontrado"))</f>
        <v/>
      </c>
      <c r="D61" s="13" t="str">
        <f aca="false">IF(B61="","",IFERROR(INDEX('Evaluación de riesgos'!$O$5:$O$204,MATCH(B61,'Evaluación de riesgos'!$A$5:$A$204,0)),""))</f>
        <v/>
      </c>
      <c r="E61" s="8"/>
      <c r="F61" s="8"/>
      <c r="G61" s="8"/>
      <c r="H61" s="8"/>
      <c r="I61" s="14"/>
      <c r="J61" s="14"/>
      <c r="K61" s="9"/>
      <c r="L61" s="15"/>
      <c r="M61" s="13" t="str">
        <f aca="true">IF(OR(J61="",K61="Completada",K61="Cancelada"),"",IF(J61&lt;TODAY(),"Sí","No"))</f>
        <v/>
      </c>
      <c r="N61" s="8"/>
    </row>
    <row r="62" customFormat="false" ht="15" hidden="false" customHeight="false" outlineLevel="0" collapsed="false">
      <c r="A62" s="9"/>
      <c r="B62" s="9"/>
      <c r="C62" s="11" t="str">
        <f aca="false">IF(B62="","",IFERROR(INDEX('Evaluación de riesgos'!$H$5:$H$204,MATCH(B62,'Evaluación de riesgos'!$A$5:$A$204,0)),"ID no encontrado"))</f>
        <v/>
      </c>
      <c r="D62" s="13" t="str">
        <f aca="false">IF(B62="","",IFERROR(INDEX('Evaluación de riesgos'!$O$5:$O$204,MATCH(B62,'Evaluación de riesgos'!$A$5:$A$204,0)),""))</f>
        <v/>
      </c>
      <c r="E62" s="8"/>
      <c r="F62" s="8"/>
      <c r="G62" s="8"/>
      <c r="H62" s="8"/>
      <c r="I62" s="14"/>
      <c r="J62" s="14"/>
      <c r="K62" s="9"/>
      <c r="L62" s="15"/>
      <c r="M62" s="13" t="str">
        <f aca="true">IF(OR(J62="",K62="Completada",K62="Cancelada"),"",IF(J62&lt;TODAY(),"Sí","No"))</f>
        <v/>
      </c>
      <c r="N62" s="8"/>
    </row>
    <row r="63" customFormat="false" ht="15" hidden="false" customHeight="false" outlineLevel="0" collapsed="false">
      <c r="A63" s="9"/>
      <c r="B63" s="9"/>
      <c r="C63" s="11" t="str">
        <f aca="false">IF(B63="","",IFERROR(INDEX('Evaluación de riesgos'!$H$5:$H$204,MATCH(B63,'Evaluación de riesgos'!$A$5:$A$204,0)),"ID no encontrado"))</f>
        <v/>
      </c>
      <c r="D63" s="13" t="str">
        <f aca="false">IF(B63="","",IFERROR(INDEX('Evaluación de riesgos'!$O$5:$O$204,MATCH(B63,'Evaluación de riesgos'!$A$5:$A$204,0)),""))</f>
        <v/>
      </c>
      <c r="E63" s="8"/>
      <c r="F63" s="8"/>
      <c r="G63" s="8"/>
      <c r="H63" s="8"/>
      <c r="I63" s="14"/>
      <c r="J63" s="14"/>
      <c r="K63" s="9"/>
      <c r="L63" s="15"/>
      <c r="M63" s="13" t="str">
        <f aca="true">IF(OR(J63="",K63="Completada",K63="Cancelada"),"",IF(J63&lt;TODAY(),"Sí","No"))</f>
        <v/>
      </c>
      <c r="N63" s="8"/>
    </row>
    <row r="64" customFormat="false" ht="15" hidden="false" customHeight="false" outlineLevel="0" collapsed="false">
      <c r="A64" s="9"/>
      <c r="B64" s="9"/>
      <c r="C64" s="11" t="str">
        <f aca="false">IF(B64="","",IFERROR(INDEX('Evaluación de riesgos'!$H$5:$H$204,MATCH(B64,'Evaluación de riesgos'!$A$5:$A$204,0)),"ID no encontrado"))</f>
        <v/>
      </c>
      <c r="D64" s="13" t="str">
        <f aca="false">IF(B64="","",IFERROR(INDEX('Evaluación de riesgos'!$O$5:$O$204,MATCH(B64,'Evaluación de riesgos'!$A$5:$A$204,0)),""))</f>
        <v/>
      </c>
      <c r="E64" s="8"/>
      <c r="F64" s="8"/>
      <c r="G64" s="8"/>
      <c r="H64" s="8"/>
      <c r="I64" s="14"/>
      <c r="J64" s="14"/>
      <c r="K64" s="9"/>
      <c r="L64" s="15"/>
      <c r="M64" s="13" t="str">
        <f aca="true">IF(OR(J64="",K64="Completada",K64="Cancelada"),"",IF(J64&lt;TODAY(),"Sí","No"))</f>
        <v/>
      </c>
      <c r="N64" s="8"/>
    </row>
    <row r="65" customFormat="false" ht="15" hidden="false" customHeight="false" outlineLevel="0" collapsed="false">
      <c r="A65" s="9"/>
      <c r="B65" s="9"/>
      <c r="C65" s="11" t="str">
        <f aca="false">IF(B65="","",IFERROR(INDEX('Evaluación de riesgos'!$H$5:$H$204,MATCH(B65,'Evaluación de riesgos'!$A$5:$A$204,0)),"ID no encontrado"))</f>
        <v/>
      </c>
      <c r="D65" s="13" t="str">
        <f aca="false">IF(B65="","",IFERROR(INDEX('Evaluación de riesgos'!$O$5:$O$204,MATCH(B65,'Evaluación de riesgos'!$A$5:$A$204,0)),""))</f>
        <v/>
      </c>
      <c r="E65" s="8"/>
      <c r="F65" s="8"/>
      <c r="G65" s="8"/>
      <c r="H65" s="8"/>
      <c r="I65" s="14"/>
      <c r="J65" s="14"/>
      <c r="K65" s="9"/>
      <c r="L65" s="15"/>
      <c r="M65" s="13" t="str">
        <f aca="true">IF(OR(J65="",K65="Completada",K65="Cancelada"),"",IF(J65&lt;TODAY(),"Sí","No"))</f>
        <v/>
      </c>
      <c r="N65" s="8"/>
    </row>
    <row r="66" customFormat="false" ht="15" hidden="false" customHeight="false" outlineLevel="0" collapsed="false">
      <c r="A66" s="9"/>
      <c r="B66" s="9"/>
      <c r="C66" s="11" t="str">
        <f aca="false">IF(B66="","",IFERROR(INDEX('Evaluación de riesgos'!$H$5:$H$204,MATCH(B66,'Evaluación de riesgos'!$A$5:$A$204,0)),"ID no encontrado"))</f>
        <v/>
      </c>
      <c r="D66" s="13" t="str">
        <f aca="false">IF(B66="","",IFERROR(INDEX('Evaluación de riesgos'!$O$5:$O$204,MATCH(B66,'Evaluación de riesgos'!$A$5:$A$204,0)),""))</f>
        <v/>
      </c>
      <c r="E66" s="8"/>
      <c r="F66" s="8"/>
      <c r="G66" s="8"/>
      <c r="H66" s="8"/>
      <c r="I66" s="14"/>
      <c r="J66" s="14"/>
      <c r="K66" s="9"/>
      <c r="L66" s="15"/>
      <c r="M66" s="13" t="str">
        <f aca="true">IF(OR(J66="",K66="Completada",K66="Cancelada"),"",IF(J66&lt;TODAY(),"Sí","No"))</f>
        <v/>
      </c>
      <c r="N66" s="8"/>
    </row>
    <row r="67" customFormat="false" ht="15" hidden="false" customHeight="false" outlineLevel="0" collapsed="false">
      <c r="A67" s="9"/>
      <c r="B67" s="9"/>
      <c r="C67" s="11" t="str">
        <f aca="false">IF(B67="","",IFERROR(INDEX('Evaluación de riesgos'!$H$5:$H$204,MATCH(B67,'Evaluación de riesgos'!$A$5:$A$204,0)),"ID no encontrado"))</f>
        <v/>
      </c>
      <c r="D67" s="13" t="str">
        <f aca="false">IF(B67="","",IFERROR(INDEX('Evaluación de riesgos'!$O$5:$O$204,MATCH(B67,'Evaluación de riesgos'!$A$5:$A$204,0)),""))</f>
        <v/>
      </c>
      <c r="E67" s="8"/>
      <c r="F67" s="8"/>
      <c r="G67" s="8"/>
      <c r="H67" s="8"/>
      <c r="I67" s="14"/>
      <c r="J67" s="14"/>
      <c r="K67" s="9"/>
      <c r="L67" s="15"/>
      <c r="M67" s="13" t="str">
        <f aca="true">IF(OR(J67="",K67="Completada",K67="Cancelada"),"",IF(J67&lt;TODAY(),"Sí","No"))</f>
        <v/>
      </c>
      <c r="N67" s="8"/>
    </row>
    <row r="68" customFormat="false" ht="15" hidden="false" customHeight="false" outlineLevel="0" collapsed="false">
      <c r="A68" s="9"/>
      <c r="B68" s="9"/>
      <c r="C68" s="11" t="str">
        <f aca="false">IF(B68="","",IFERROR(INDEX('Evaluación de riesgos'!$H$5:$H$204,MATCH(B68,'Evaluación de riesgos'!$A$5:$A$204,0)),"ID no encontrado"))</f>
        <v/>
      </c>
      <c r="D68" s="13" t="str">
        <f aca="false">IF(B68="","",IFERROR(INDEX('Evaluación de riesgos'!$O$5:$O$204,MATCH(B68,'Evaluación de riesgos'!$A$5:$A$204,0)),""))</f>
        <v/>
      </c>
      <c r="E68" s="8"/>
      <c r="F68" s="8"/>
      <c r="G68" s="8"/>
      <c r="H68" s="8"/>
      <c r="I68" s="14"/>
      <c r="J68" s="14"/>
      <c r="K68" s="9"/>
      <c r="L68" s="15"/>
      <c r="M68" s="13" t="str">
        <f aca="true">IF(OR(J68="",K68="Completada",K68="Cancelada"),"",IF(J68&lt;TODAY(),"Sí","No"))</f>
        <v/>
      </c>
      <c r="N68" s="8"/>
    </row>
    <row r="69" customFormat="false" ht="15" hidden="false" customHeight="false" outlineLevel="0" collapsed="false">
      <c r="A69" s="9"/>
      <c r="B69" s="9"/>
      <c r="C69" s="11" t="str">
        <f aca="false">IF(B69="","",IFERROR(INDEX('Evaluación de riesgos'!$H$5:$H$204,MATCH(B69,'Evaluación de riesgos'!$A$5:$A$204,0)),"ID no encontrado"))</f>
        <v/>
      </c>
      <c r="D69" s="13" t="str">
        <f aca="false">IF(B69="","",IFERROR(INDEX('Evaluación de riesgos'!$O$5:$O$204,MATCH(B69,'Evaluación de riesgos'!$A$5:$A$204,0)),""))</f>
        <v/>
      </c>
      <c r="E69" s="8"/>
      <c r="F69" s="8"/>
      <c r="G69" s="8"/>
      <c r="H69" s="8"/>
      <c r="I69" s="14"/>
      <c r="J69" s="14"/>
      <c r="K69" s="9"/>
      <c r="L69" s="15"/>
      <c r="M69" s="13" t="str">
        <f aca="true">IF(OR(J69="",K69="Completada",K69="Cancelada"),"",IF(J69&lt;TODAY(),"Sí","No"))</f>
        <v/>
      </c>
      <c r="N69" s="8"/>
    </row>
    <row r="70" customFormat="false" ht="15" hidden="false" customHeight="false" outlineLevel="0" collapsed="false">
      <c r="A70" s="9"/>
      <c r="B70" s="9"/>
      <c r="C70" s="11" t="str">
        <f aca="false">IF(B70="","",IFERROR(INDEX('Evaluación de riesgos'!$H$5:$H$204,MATCH(B70,'Evaluación de riesgos'!$A$5:$A$204,0)),"ID no encontrado"))</f>
        <v/>
      </c>
      <c r="D70" s="13" t="str">
        <f aca="false">IF(B70="","",IFERROR(INDEX('Evaluación de riesgos'!$O$5:$O$204,MATCH(B70,'Evaluación de riesgos'!$A$5:$A$204,0)),""))</f>
        <v/>
      </c>
      <c r="E70" s="8"/>
      <c r="F70" s="8"/>
      <c r="G70" s="8"/>
      <c r="H70" s="8"/>
      <c r="I70" s="14"/>
      <c r="J70" s="14"/>
      <c r="K70" s="9"/>
      <c r="L70" s="15"/>
      <c r="M70" s="13" t="str">
        <f aca="true">IF(OR(J70="",K70="Completada",K70="Cancelada"),"",IF(J70&lt;TODAY(),"Sí","No"))</f>
        <v/>
      </c>
      <c r="N70" s="8"/>
    </row>
    <row r="71" customFormat="false" ht="15" hidden="false" customHeight="false" outlineLevel="0" collapsed="false">
      <c r="A71" s="9"/>
      <c r="B71" s="9"/>
      <c r="C71" s="11" t="str">
        <f aca="false">IF(B71="","",IFERROR(INDEX('Evaluación de riesgos'!$H$5:$H$204,MATCH(B71,'Evaluación de riesgos'!$A$5:$A$204,0)),"ID no encontrado"))</f>
        <v/>
      </c>
      <c r="D71" s="13" t="str">
        <f aca="false">IF(B71="","",IFERROR(INDEX('Evaluación de riesgos'!$O$5:$O$204,MATCH(B71,'Evaluación de riesgos'!$A$5:$A$204,0)),""))</f>
        <v/>
      </c>
      <c r="E71" s="8"/>
      <c r="F71" s="8"/>
      <c r="G71" s="8"/>
      <c r="H71" s="8"/>
      <c r="I71" s="14"/>
      <c r="J71" s="14"/>
      <c r="K71" s="9"/>
      <c r="L71" s="15"/>
      <c r="M71" s="13" t="str">
        <f aca="true">IF(OR(J71="",K71="Completada",K71="Cancelada"),"",IF(J71&lt;TODAY(),"Sí","No"))</f>
        <v/>
      </c>
      <c r="N71" s="8"/>
    </row>
    <row r="72" customFormat="false" ht="15" hidden="false" customHeight="false" outlineLevel="0" collapsed="false">
      <c r="A72" s="9"/>
      <c r="B72" s="9"/>
      <c r="C72" s="11" t="str">
        <f aca="false">IF(B72="","",IFERROR(INDEX('Evaluación de riesgos'!$H$5:$H$204,MATCH(B72,'Evaluación de riesgos'!$A$5:$A$204,0)),"ID no encontrado"))</f>
        <v/>
      </c>
      <c r="D72" s="13" t="str">
        <f aca="false">IF(B72="","",IFERROR(INDEX('Evaluación de riesgos'!$O$5:$O$204,MATCH(B72,'Evaluación de riesgos'!$A$5:$A$204,0)),""))</f>
        <v/>
      </c>
      <c r="E72" s="8"/>
      <c r="F72" s="8"/>
      <c r="G72" s="8"/>
      <c r="H72" s="8"/>
      <c r="I72" s="14"/>
      <c r="J72" s="14"/>
      <c r="K72" s="9"/>
      <c r="L72" s="15"/>
      <c r="M72" s="13" t="str">
        <f aca="true">IF(OR(J72="",K72="Completada",K72="Cancelada"),"",IF(J72&lt;TODAY(),"Sí","No"))</f>
        <v/>
      </c>
      <c r="N72" s="8"/>
    </row>
    <row r="73" customFormat="false" ht="15" hidden="false" customHeight="false" outlineLevel="0" collapsed="false">
      <c r="A73" s="9"/>
      <c r="B73" s="9"/>
      <c r="C73" s="11" t="str">
        <f aca="false">IF(B73="","",IFERROR(INDEX('Evaluación de riesgos'!$H$5:$H$204,MATCH(B73,'Evaluación de riesgos'!$A$5:$A$204,0)),"ID no encontrado"))</f>
        <v/>
      </c>
      <c r="D73" s="13" t="str">
        <f aca="false">IF(B73="","",IFERROR(INDEX('Evaluación de riesgos'!$O$5:$O$204,MATCH(B73,'Evaluación de riesgos'!$A$5:$A$204,0)),""))</f>
        <v/>
      </c>
      <c r="E73" s="8"/>
      <c r="F73" s="8"/>
      <c r="G73" s="8"/>
      <c r="H73" s="8"/>
      <c r="I73" s="14"/>
      <c r="J73" s="14"/>
      <c r="K73" s="9"/>
      <c r="L73" s="15"/>
      <c r="M73" s="13" t="str">
        <f aca="true">IF(OR(J73="",K73="Completada",K73="Cancelada"),"",IF(J73&lt;TODAY(),"Sí","No"))</f>
        <v/>
      </c>
      <c r="N73" s="8"/>
    </row>
    <row r="74" customFormat="false" ht="15" hidden="false" customHeight="false" outlineLevel="0" collapsed="false">
      <c r="A74" s="9"/>
      <c r="B74" s="9"/>
      <c r="C74" s="11" t="str">
        <f aca="false">IF(B74="","",IFERROR(INDEX('Evaluación de riesgos'!$H$5:$H$204,MATCH(B74,'Evaluación de riesgos'!$A$5:$A$204,0)),"ID no encontrado"))</f>
        <v/>
      </c>
      <c r="D74" s="13" t="str">
        <f aca="false">IF(B74="","",IFERROR(INDEX('Evaluación de riesgos'!$O$5:$O$204,MATCH(B74,'Evaluación de riesgos'!$A$5:$A$204,0)),""))</f>
        <v/>
      </c>
      <c r="E74" s="8"/>
      <c r="F74" s="8"/>
      <c r="G74" s="8"/>
      <c r="H74" s="8"/>
      <c r="I74" s="14"/>
      <c r="J74" s="14"/>
      <c r="K74" s="9"/>
      <c r="L74" s="15"/>
      <c r="M74" s="13" t="str">
        <f aca="true">IF(OR(J74="",K74="Completada",K74="Cancelada"),"",IF(J74&lt;TODAY(),"Sí","No"))</f>
        <v/>
      </c>
      <c r="N74" s="8"/>
    </row>
    <row r="75" customFormat="false" ht="15" hidden="false" customHeight="false" outlineLevel="0" collapsed="false">
      <c r="A75" s="9"/>
      <c r="B75" s="9"/>
      <c r="C75" s="11" t="str">
        <f aca="false">IF(B75="","",IFERROR(INDEX('Evaluación de riesgos'!$H$5:$H$204,MATCH(B75,'Evaluación de riesgos'!$A$5:$A$204,0)),"ID no encontrado"))</f>
        <v/>
      </c>
      <c r="D75" s="13" t="str">
        <f aca="false">IF(B75="","",IFERROR(INDEX('Evaluación de riesgos'!$O$5:$O$204,MATCH(B75,'Evaluación de riesgos'!$A$5:$A$204,0)),""))</f>
        <v/>
      </c>
      <c r="E75" s="8"/>
      <c r="F75" s="8"/>
      <c r="G75" s="8"/>
      <c r="H75" s="8"/>
      <c r="I75" s="14"/>
      <c r="J75" s="14"/>
      <c r="K75" s="9"/>
      <c r="L75" s="15"/>
      <c r="M75" s="13" t="str">
        <f aca="true">IF(OR(J75="",K75="Completada",K75="Cancelada"),"",IF(J75&lt;TODAY(),"Sí","No"))</f>
        <v/>
      </c>
      <c r="N75" s="8"/>
    </row>
    <row r="76" customFormat="false" ht="15" hidden="false" customHeight="false" outlineLevel="0" collapsed="false">
      <c r="A76" s="9"/>
      <c r="B76" s="9"/>
      <c r="C76" s="11" t="str">
        <f aca="false">IF(B76="","",IFERROR(INDEX('Evaluación de riesgos'!$H$5:$H$204,MATCH(B76,'Evaluación de riesgos'!$A$5:$A$204,0)),"ID no encontrado"))</f>
        <v/>
      </c>
      <c r="D76" s="13" t="str">
        <f aca="false">IF(B76="","",IFERROR(INDEX('Evaluación de riesgos'!$O$5:$O$204,MATCH(B76,'Evaluación de riesgos'!$A$5:$A$204,0)),""))</f>
        <v/>
      </c>
      <c r="E76" s="8"/>
      <c r="F76" s="8"/>
      <c r="G76" s="8"/>
      <c r="H76" s="8"/>
      <c r="I76" s="14"/>
      <c r="J76" s="14"/>
      <c r="K76" s="9"/>
      <c r="L76" s="15"/>
      <c r="M76" s="13" t="str">
        <f aca="true">IF(OR(J76="",K76="Completada",K76="Cancelada"),"",IF(J76&lt;TODAY(),"Sí","No"))</f>
        <v/>
      </c>
      <c r="N76" s="8"/>
    </row>
    <row r="77" customFormat="false" ht="15" hidden="false" customHeight="false" outlineLevel="0" collapsed="false">
      <c r="A77" s="9"/>
      <c r="B77" s="9"/>
      <c r="C77" s="11" t="str">
        <f aca="false">IF(B77="","",IFERROR(INDEX('Evaluación de riesgos'!$H$5:$H$204,MATCH(B77,'Evaluación de riesgos'!$A$5:$A$204,0)),"ID no encontrado"))</f>
        <v/>
      </c>
      <c r="D77" s="13" t="str">
        <f aca="false">IF(B77="","",IFERROR(INDEX('Evaluación de riesgos'!$O$5:$O$204,MATCH(B77,'Evaluación de riesgos'!$A$5:$A$204,0)),""))</f>
        <v/>
      </c>
      <c r="E77" s="8"/>
      <c r="F77" s="8"/>
      <c r="G77" s="8"/>
      <c r="H77" s="8"/>
      <c r="I77" s="14"/>
      <c r="J77" s="14"/>
      <c r="K77" s="9"/>
      <c r="L77" s="15"/>
      <c r="M77" s="13" t="str">
        <f aca="true">IF(OR(J77="",K77="Completada",K77="Cancelada"),"",IF(J77&lt;TODAY(),"Sí","No"))</f>
        <v/>
      </c>
      <c r="N77" s="8"/>
    </row>
    <row r="78" customFormat="false" ht="15" hidden="false" customHeight="false" outlineLevel="0" collapsed="false">
      <c r="A78" s="9"/>
      <c r="B78" s="9"/>
      <c r="C78" s="11" t="str">
        <f aca="false">IF(B78="","",IFERROR(INDEX('Evaluación de riesgos'!$H$5:$H$204,MATCH(B78,'Evaluación de riesgos'!$A$5:$A$204,0)),"ID no encontrado"))</f>
        <v/>
      </c>
      <c r="D78" s="13" t="str">
        <f aca="false">IF(B78="","",IFERROR(INDEX('Evaluación de riesgos'!$O$5:$O$204,MATCH(B78,'Evaluación de riesgos'!$A$5:$A$204,0)),""))</f>
        <v/>
      </c>
      <c r="E78" s="8"/>
      <c r="F78" s="8"/>
      <c r="G78" s="8"/>
      <c r="H78" s="8"/>
      <c r="I78" s="14"/>
      <c r="J78" s="14"/>
      <c r="K78" s="9"/>
      <c r="L78" s="15"/>
      <c r="M78" s="13" t="str">
        <f aca="true">IF(OR(J78="",K78="Completada",K78="Cancelada"),"",IF(J78&lt;TODAY(),"Sí","No"))</f>
        <v/>
      </c>
      <c r="N78" s="8"/>
    </row>
    <row r="79" customFormat="false" ht="15" hidden="false" customHeight="false" outlineLevel="0" collapsed="false">
      <c r="A79" s="9"/>
      <c r="B79" s="9"/>
      <c r="C79" s="11" t="str">
        <f aca="false">IF(B79="","",IFERROR(INDEX('Evaluación de riesgos'!$H$5:$H$204,MATCH(B79,'Evaluación de riesgos'!$A$5:$A$204,0)),"ID no encontrado"))</f>
        <v/>
      </c>
      <c r="D79" s="13" t="str">
        <f aca="false">IF(B79="","",IFERROR(INDEX('Evaluación de riesgos'!$O$5:$O$204,MATCH(B79,'Evaluación de riesgos'!$A$5:$A$204,0)),""))</f>
        <v/>
      </c>
      <c r="E79" s="8"/>
      <c r="F79" s="8"/>
      <c r="G79" s="8"/>
      <c r="H79" s="8"/>
      <c r="I79" s="14"/>
      <c r="J79" s="14"/>
      <c r="K79" s="9"/>
      <c r="L79" s="15"/>
      <c r="M79" s="13" t="str">
        <f aca="true">IF(OR(J79="",K79="Completada",K79="Cancelada"),"",IF(J79&lt;TODAY(),"Sí","No"))</f>
        <v/>
      </c>
      <c r="N79" s="8"/>
    </row>
    <row r="80" customFormat="false" ht="15" hidden="false" customHeight="false" outlineLevel="0" collapsed="false">
      <c r="A80" s="9"/>
      <c r="B80" s="9"/>
      <c r="C80" s="11" t="str">
        <f aca="false">IF(B80="","",IFERROR(INDEX('Evaluación de riesgos'!$H$5:$H$204,MATCH(B80,'Evaluación de riesgos'!$A$5:$A$204,0)),"ID no encontrado"))</f>
        <v/>
      </c>
      <c r="D80" s="13" t="str">
        <f aca="false">IF(B80="","",IFERROR(INDEX('Evaluación de riesgos'!$O$5:$O$204,MATCH(B80,'Evaluación de riesgos'!$A$5:$A$204,0)),""))</f>
        <v/>
      </c>
      <c r="E80" s="8"/>
      <c r="F80" s="8"/>
      <c r="G80" s="8"/>
      <c r="H80" s="8"/>
      <c r="I80" s="14"/>
      <c r="J80" s="14"/>
      <c r="K80" s="9"/>
      <c r="L80" s="15"/>
      <c r="M80" s="13" t="str">
        <f aca="true">IF(OR(J80="",K80="Completada",K80="Cancelada"),"",IF(J80&lt;TODAY(),"Sí","No"))</f>
        <v/>
      </c>
      <c r="N80" s="8"/>
    </row>
    <row r="81" customFormat="false" ht="15" hidden="false" customHeight="false" outlineLevel="0" collapsed="false">
      <c r="A81" s="9"/>
      <c r="B81" s="9"/>
      <c r="C81" s="11" t="str">
        <f aca="false">IF(B81="","",IFERROR(INDEX('Evaluación de riesgos'!$H$5:$H$204,MATCH(B81,'Evaluación de riesgos'!$A$5:$A$204,0)),"ID no encontrado"))</f>
        <v/>
      </c>
      <c r="D81" s="13" t="str">
        <f aca="false">IF(B81="","",IFERROR(INDEX('Evaluación de riesgos'!$O$5:$O$204,MATCH(B81,'Evaluación de riesgos'!$A$5:$A$204,0)),""))</f>
        <v/>
      </c>
      <c r="E81" s="8"/>
      <c r="F81" s="8"/>
      <c r="G81" s="8"/>
      <c r="H81" s="8"/>
      <c r="I81" s="14"/>
      <c r="J81" s="14"/>
      <c r="K81" s="9"/>
      <c r="L81" s="15"/>
      <c r="M81" s="13" t="str">
        <f aca="true">IF(OR(J81="",K81="Completada",K81="Cancelada"),"",IF(J81&lt;TODAY(),"Sí","No"))</f>
        <v/>
      </c>
      <c r="N81" s="8"/>
    </row>
    <row r="82" customFormat="false" ht="15" hidden="false" customHeight="false" outlineLevel="0" collapsed="false">
      <c r="A82" s="9"/>
      <c r="B82" s="9"/>
      <c r="C82" s="11" t="str">
        <f aca="false">IF(B82="","",IFERROR(INDEX('Evaluación de riesgos'!$H$5:$H$204,MATCH(B82,'Evaluación de riesgos'!$A$5:$A$204,0)),"ID no encontrado"))</f>
        <v/>
      </c>
      <c r="D82" s="13" t="str">
        <f aca="false">IF(B82="","",IFERROR(INDEX('Evaluación de riesgos'!$O$5:$O$204,MATCH(B82,'Evaluación de riesgos'!$A$5:$A$204,0)),""))</f>
        <v/>
      </c>
      <c r="E82" s="8"/>
      <c r="F82" s="8"/>
      <c r="G82" s="8"/>
      <c r="H82" s="8"/>
      <c r="I82" s="14"/>
      <c r="J82" s="14"/>
      <c r="K82" s="9"/>
      <c r="L82" s="15"/>
      <c r="M82" s="13" t="str">
        <f aca="true">IF(OR(J82="",K82="Completada",K82="Cancelada"),"",IF(J82&lt;TODAY(),"Sí","No"))</f>
        <v/>
      </c>
      <c r="N82" s="8"/>
    </row>
    <row r="83" customFormat="false" ht="15" hidden="false" customHeight="false" outlineLevel="0" collapsed="false">
      <c r="A83" s="9"/>
      <c r="B83" s="9"/>
      <c r="C83" s="11" t="str">
        <f aca="false">IF(B83="","",IFERROR(INDEX('Evaluación de riesgos'!$H$5:$H$204,MATCH(B83,'Evaluación de riesgos'!$A$5:$A$204,0)),"ID no encontrado"))</f>
        <v/>
      </c>
      <c r="D83" s="13" t="str">
        <f aca="false">IF(B83="","",IFERROR(INDEX('Evaluación de riesgos'!$O$5:$O$204,MATCH(B83,'Evaluación de riesgos'!$A$5:$A$204,0)),""))</f>
        <v/>
      </c>
      <c r="E83" s="8"/>
      <c r="F83" s="8"/>
      <c r="G83" s="8"/>
      <c r="H83" s="8"/>
      <c r="I83" s="14"/>
      <c r="J83" s="14"/>
      <c r="K83" s="9"/>
      <c r="L83" s="15"/>
      <c r="M83" s="13" t="str">
        <f aca="true">IF(OR(J83="",K83="Completada",K83="Cancelada"),"",IF(J83&lt;TODAY(),"Sí","No"))</f>
        <v/>
      </c>
      <c r="N83" s="8"/>
    </row>
    <row r="84" customFormat="false" ht="15" hidden="false" customHeight="false" outlineLevel="0" collapsed="false">
      <c r="A84" s="9"/>
      <c r="B84" s="9"/>
      <c r="C84" s="11" t="str">
        <f aca="false">IF(B84="","",IFERROR(INDEX('Evaluación de riesgos'!$H$5:$H$204,MATCH(B84,'Evaluación de riesgos'!$A$5:$A$204,0)),"ID no encontrado"))</f>
        <v/>
      </c>
      <c r="D84" s="13" t="str">
        <f aca="false">IF(B84="","",IFERROR(INDEX('Evaluación de riesgos'!$O$5:$O$204,MATCH(B84,'Evaluación de riesgos'!$A$5:$A$204,0)),""))</f>
        <v/>
      </c>
      <c r="E84" s="8"/>
      <c r="F84" s="8"/>
      <c r="G84" s="8"/>
      <c r="H84" s="8"/>
      <c r="I84" s="14"/>
      <c r="J84" s="14"/>
      <c r="K84" s="9"/>
      <c r="L84" s="15"/>
      <c r="M84" s="13" t="str">
        <f aca="true">IF(OR(J84="",K84="Completada",K84="Cancelada"),"",IF(J84&lt;TODAY(),"Sí","No"))</f>
        <v/>
      </c>
      <c r="N84" s="8"/>
    </row>
    <row r="85" customFormat="false" ht="15" hidden="false" customHeight="false" outlineLevel="0" collapsed="false">
      <c r="A85" s="9"/>
      <c r="B85" s="9"/>
      <c r="C85" s="11" t="str">
        <f aca="false">IF(B85="","",IFERROR(INDEX('Evaluación de riesgos'!$H$5:$H$204,MATCH(B85,'Evaluación de riesgos'!$A$5:$A$204,0)),"ID no encontrado"))</f>
        <v/>
      </c>
      <c r="D85" s="13" t="str">
        <f aca="false">IF(B85="","",IFERROR(INDEX('Evaluación de riesgos'!$O$5:$O$204,MATCH(B85,'Evaluación de riesgos'!$A$5:$A$204,0)),""))</f>
        <v/>
      </c>
      <c r="E85" s="8"/>
      <c r="F85" s="8"/>
      <c r="G85" s="8"/>
      <c r="H85" s="8"/>
      <c r="I85" s="14"/>
      <c r="J85" s="14"/>
      <c r="K85" s="9"/>
      <c r="L85" s="15"/>
      <c r="M85" s="13" t="str">
        <f aca="true">IF(OR(J85="",K85="Completada",K85="Cancelada"),"",IF(J85&lt;TODAY(),"Sí","No"))</f>
        <v/>
      </c>
      <c r="N85" s="8"/>
    </row>
    <row r="86" customFormat="false" ht="15" hidden="false" customHeight="false" outlineLevel="0" collapsed="false">
      <c r="A86" s="9"/>
      <c r="B86" s="9"/>
      <c r="C86" s="11" t="str">
        <f aca="false">IF(B86="","",IFERROR(INDEX('Evaluación de riesgos'!$H$5:$H$204,MATCH(B86,'Evaluación de riesgos'!$A$5:$A$204,0)),"ID no encontrado"))</f>
        <v/>
      </c>
      <c r="D86" s="13" t="str">
        <f aca="false">IF(B86="","",IFERROR(INDEX('Evaluación de riesgos'!$O$5:$O$204,MATCH(B86,'Evaluación de riesgos'!$A$5:$A$204,0)),""))</f>
        <v/>
      </c>
      <c r="E86" s="8"/>
      <c r="F86" s="8"/>
      <c r="G86" s="8"/>
      <c r="H86" s="8"/>
      <c r="I86" s="14"/>
      <c r="J86" s="14"/>
      <c r="K86" s="9"/>
      <c r="L86" s="15"/>
      <c r="M86" s="13" t="str">
        <f aca="true">IF(OR(J86="",K86="Completada",K86="Cancelada"),"",IF(J86&lt;TODAY(),"Sí","No"))</f>
        <v/>
      </c>
      <c r="N86" s="8"/>
    </row>
    <row r="87" customFormat="false" ht="15" hidden="false" customHeight="false" outlineLevel="0" collapsed="false">
      <c r="A87" s="9"/>
      <c r="B87" s="9"/>
      <c r="C87" s="11" t="str">
        <f aca="false">IF(B87="","",IFERROR(INDEX('Evaluación de riesgos'!$H$5:$H$204,MATCH(B87,'Evaluación de riesgos'!$A$5:$A$204,0)),"ID no encontrado"))</f>
        <v/>
      </c>
      <c r="D87" s="13" t="str">
        <f aca="false">IF(B87="","",IFERROR(INDEX('Evaluación de riesgos'!$O$5:$O$204,MATCH(B87,'Evaluación de riesgos'!$A$5:$A$204,0)),""))</f>
        <v/>
      </c>
      <c r="E87" s="8"/>
      <c r="F87" s="8"/>
      <c r="G87" s="8"/>
      <c r="H87" s="8"/>
      <c r="I87" s="14"/>
      <c r="J87" s="14"/>
      <c r="K87" s="9"/>
      <c r="L87" s="15"/>
      <c r="M87" s="13" t="str">
        <f aca="true">IF(OR(J87="",K87="Completada",K87="Cancelada"),"",IF(J87&lt;TODAY(),"Sí","No"))</f>
        <v/>
      </c>
      <c r="N87" s="8"/>
    </row>
    <row r="88" customFormat="false" ht="15" hidden="false" customHeight="false" outlineLevel="0" collapsed="false">
      <c r="A88" s="9"/>
      <c r="B88" s="9"/>
      <c r="C88" s="11" t="str">
        <f aca="false">IF(B88="","",IFERROR(INDEX('Evaluación de riesgos'!$H$5:$H$204,MATCH(B88,'Evaluación de riesgos'!$A$5:$A$204,0)),"ID no encontrado"))</f>
        <v/>
      </c>
      <c r="D88" s="13" t="str">
        <f aca="false">IF(B88="","",IFERROR(INDEX('Evaluación de riesgos'!$O$5:$O$204,MATCH(B88,'Evaluación de riesgos'!$A$5:$A$204,0)),""))</f>
        <v/>
      </c>
      <c r="E88" s="8"/>
      <c r="F88" s="8"/>
      <c r="G88" s="8"/>
      <c r="H88" s="8"/>
      <c r="I88" s="14"/>
      <c r="J88" s="14"/>
      <c r="K88" s="9"/>
      <c r="L88" s="15"/>
      <c r="M88" s="13" t="str">
        <f aca="true">IF(OR(J88="",K88="Completada",K88="Cancelada"),"",IF(J88&lt;TODAY(),"Sí","No"))</f>
        <v/>
      </c>
      <c r="N88" s="8"/>
    </row>
    <row r="89" customFormat="false" ht="15" hidden="false" customHeight="false" outlineLevel="0" collapsed="false">
      <c r="A89" s="9"/>
      <c r="B89" s="9"/>
      <c r="C89" s="11" t="str">
        <f aca="false">IF(B89="","",IFERROR(INDEX('Evaluación de riesgos'!$H$5:$H$204,MATCH(B89,'Evaluación de riesgos'!$A$5:$A$204,0)),"ID no encontrado"))</f>
        <v/>
      </c>
      <c r="D89" s="13" t="str">
        <f aca="false">IF(B89="","",IFERROR(INDEX('Evaluación de riesgos'!$O$5:$O$204,MATCH(B89,'Evaluación de riesgos'!$A$5:$A$204,0)),""))</f>
        <v/>
      </c>
      <c r="E89" s="8"/>
      <c r="F89" s="8"/>
      <c r="G89" s="8"/>
      <c r="H89" s="8"/>
      <c r="I89" s="14"/>
      <c r="J89" s="14"/>
      <c r="K89" s="9"/>
      <c r="L89" s="15"/>
      <c r="M89" s="13" t="str">
        <f aca="true">IF(OR(J89="",K89="Completada",K89="Cancelada"),"",IF(J89&lt;TODAY(),"Sí","No"))</f>
        <v/>
      </c>
      <c r="N89" s="8"/>
    </row>
    <row r="90" customFormat="false" ht="15" hidden="false" customHeight="false" outlineLevel="0" collapsed="false">
      <c r="A90" s="9"/>
      <c r="B90" s="9"/>
      <c r="C90" s="11" t="str">
        <f aca="false">IF(B90="","",IFERROR(INDEX('Evaluación de riesgos'!$H$5:$H$204,MATCH(B90,'Evaluación de riesgos'!$A$5:$A$204,0)),"ID no encontrado"))</f>
        <v/>
      </c>
      <c r="D90" s="13" t="str">
        <f aca="false">IF(B90="","",IFERROR(INDEX('Evaluación de riesgos'!$O$5:$O$204,MATCH(B90,'Evaluación de riesgos'!$A$5:$A$204,0)),""))</f>
        <v/>
      </c>
      <c r="E90" s="8"/>
      <c r="F90" s="8"/>
      <c r="G90" s="8"/>
      <c r="H90" s="8"/>
      <c r="I90" s="14"/>
      <c r="J90" s="14"/>
      <c r="K90" s="9"/>
      <c r="L90" s="15"/>
      <c r="M90" s="13" t="str">
        <f aca="true">IF(OR(J90="",K90="Completada",K90="Cancelada"),"",IF(J90&lt;TODAY(),"Sí","No"))</f>
        <v/>
      </c>
      <c r="N90" s="8"/>
    </row>
    <row r="91" customFormat="false" ht="15" hidden="false" customHeight="false" outlineLevel="0" collapsed="false">
      <c r="A91" s="9"/>
      <c r="B91" s="9"/>
      <c r="C91" s="11" t="str">
        <f aca="false">IF(B91="","",IFERROR(INDEX('Evaluación de riesgos'!$H$5:$H$204,MATCH(B91,'Evaluación de riesgos'!$A$5:$A$204,0)),"ID no encontrado"))</f>
        <v/>
      </c>
      <c r="D91" s="13" t="str">
        <f aca="false">IF(B91="","",IFERROR(INDEX('Evaluación de riesgos'!$O$5:$O$204,MATCH(B91,'Evaluación de riesgos'!$A$5:$A$204,0)),""))</f>
        <v/>
      </c>
      <c r="E91" s="8"/>
      <c r="F91" s="8"/>
      <c r="G91" s="8"/>
      <c r="H91" s="8"/>
      <c r="I91" s="14"/>
      <c r="J91" s="14"/>
      <c r="K91" s="9"/>
      <c r="L91" s="15"/>
      <c r="M91" s="13" t="str">
        <f aca="true">IF(OR(J91="",K91="Completada",K91="Cancelada"),"",IF(J91&lt;TODAY(),"Sí","No"))</f>
        <v/>
      </c>
      <c r="N91" s="8"/>
    </row>
    <row r="92" customFormat="false" ht="15" hidden="false" customHeight="false" outlineLevel="0" collapsed="false">
      <c r="A92" s="9"/>
      <c r="B92" s="9"/>
      <c r="C92" s="11" t="str">
        <f aca="false">IF(B92="","",IFERROR(INDEX('Evaluación de riesgos'!$H$5:$H$204,MATCH(B92,'Evaluación de riesgos'!$A$5:$A$204,0)),"ID no encontrado"))</f>
        <v/>
      </c>
      <c r="D92" s="13" t="str">
        <f aca="false">IF(B92="","",IFERROR(INDEX('Evaluación de riesgos'!$O$5:$O$204,MATCH(B92,'Evaluación de riesgos'!$A$5:$A$204,0)),""))</f>
        <v/>
      </c>
      <c r="E92" s="8"/>
      <c r="F92" s="8"/>
      <c r="G92" s="8"/>
      <c r="H92" s="8"/>
      <c r="I92" s="14"/>
      <c r="J92" s="14"/>
      <c r="K92" s="9"/>
      <c r="L92" s="15"/>
      <c r="M92" s="13" t="str">
        <f aca="true">IF(OR(J92="",K92="Completada",K92="Cancelada"),"",IF(J92&lt;TODAY(),"Sí","No"))</f>
        <v/>
      </c>
      <c r="N92" s="8"/>
    </row>
    <row r="93" customFormat="false" ht="15" hidden="false" customHeight="false" outlineLevel="0" collapsed="false">
      <c r="A93" s="9"/>
      <c r="B93" s="9"/>
      <c r="C93" s="11" t="str">
        <f aca="false">IF(B93="","",IFERROR(INDEX('Evaluación de riesgos'!$H$5:$H$204,MATCH(B93,'Evaluación de riesgos'!$A$5:$A$204,0)),"ID no encontrado"))</f>
        <v/>
      </c>
      <c r="D93" s="13" t="str">
        <f aca="false">IF(B93="","",IFERROR(INDEX('Evaluación de riesgos'!$O$5:$O$204,MATCH(B93,'Evaluación de riesgos'!$A$5:$A$204,0)),""))</f>
        <v/>
      </c>
      <c r="E93" s="8"/>
      <c r="F93" s="8"/>
      <c r="G93" s="8"/>
      <c r="H93" s="8"/>
      <c r="I93" s="14"/>
      <c r="J93" s="14"/>
      <c r="K93" s="9"/>
      <c r="L93" s="15"/>
      <c r="M93" s="13" t="str">
        <f aca="true">IF(OR(J93="",K93="Completada",K93="Cancelada"),"",IF(J93&lt;TODAY(),"Sí","No"))</f>
        <v/>
      </c>
      <c r="N93" s="8"/>
    </row>
    <row r="94" customFormat="false" ht="15" hidden="false" customHeight="false" outlineLevel="0" collapsed="false">
      <c r="A94" s="9"/>
      <c r="B94" s="9"/>
      <c r="C94" s="11" t="str">
        <f aca="false">IF(B94="","",IFERROR(INDEX('Evaluación de riesgos'!$H$5:$H$204,MATCH(B94,'Evaluación de riesgos'!$A$5:$A$204,0)),"ID no encontrado"))</f>
        <v/>
      </c>
      <c r="D94" s="13" t="str">
        <f aca="false">IF(B94="","",IFERROR(INDEX('Evaluación de riesgos'!$O$5:$O$204,MATCH(B94,'Evaluación de riesgos'!$A$5:$A$204,0)),""))</f>
        <v/>
      </c>
      <c r="E94" s="8"/>
      <c r="F94" s="8"/>
      <c r="G94" s="8"/>
      <c r="H94" s="8"/>
      <c r="I94" s="14"/>
      <c r="J94" s="14"/>
      <c r="K94" s="9"/>
      <c r="L94" s="15"/>
      <c r="M94" s="13" t="str">
        <f aca="true">IF(OR(J94="",K94="Completada",K94="Cancelada"),"",IF(J94&lt;TODAY(),"Sí","No"))</f>
        <v/>
      </c>
      <c r="N94" s="8"/>
    </row>
    <row r="95" customFormat="false" ht="15" hidden="false" customHeight="false" outlineLevel="0" collapsed="false">
      <c r="A95" s="9"/>
      <c r="B95" s="9"/>
      <c r="C95" s="11" t="str">
        <f aca="false">IF(B95="","",IFERROR(INDEX('Evaluación de riesgos'!$H$5:$H$204,MATCH(B95,'Evaluación de riesgos'!$A$5:$A$204,0)),"ID no encontrado"))</f>
        <v/>
      </c>
      <c r="D95" s="13" t="str">
        <f aca="false">IF(B95="","",IFERROR(INDEX('Evaluación de riesgos'!$O$5:$O$204,MATCH(B95,'Evaluación de riesgos'!$A$5:$A$204,0)),""))</f>
        <v/>
      </c>
      <c r="E95" s="8"/>
      <c r="F95" s="8"/>
      <c r="G95" s="8"/>
      <c r="H95" s="8"/>
      <c r="I95" s="14"/>
      <c r="J95" s="14"/>
      <c r="K95" s="9"/>
      <c r="L95" s="15"/>
      <c r="M95" s="13" t="str">
        <f aca="true">IF(OR(J95="",K95="Completada",K95="Cancelada"),"",IF(J95&lt;TODAY(),"Sí","No"))</f>
        <v/>
      </c>
      <c r="N95" s="8"/>
    </row>
    <row r="96" customFormat="false" ht="15" hidden="false" customHeight="false" outlineLevel="0" collapsed="false">
      <c r="A96" s="9"/>
      <c r="B96" s="9"/>
      <c r="C96" s="11" t="str">
        <f aca="false">IF(B96="","",IFERROR(INDEX('Evaluación de riesgos'!$H$5:$H$204,MATCH(B96,'Evaluación de riesgos'!$A$5:$A$204,0)),"ID no encontrado"))</f>
        <v/>
      </c>
      <c r="D96" s="13" t="str">
        <f aca="false">IF(B96="","",IFERROR(INDEX('Evaluación de riesgos'!$O$5:$O$204,MATCH(B96,'Evaluación de riesgos'!$A$5:$A$204,0)),""))</f>
        <v/>
      </c>
      <c r="E96" s="8"/>
      <c r="F96" s="8"/>
      <c r="G96" s="8"/>
      <c r="H96" s="8"/>
      <c r="I96" s="14"/>
      <c r="J96" s="14"/>
      <c r="K96" s="9"/>
      <c r="L96" s="15"/>
      <c r="M96" s="13" t="str">
        <f aca="true">IF(OR(J96="",K96="Completada",K96="Cancelada"),"",IF(J96&lt;TODAY(),"Sí","No"))</f>
        <v/>
      </c>
      <c r="N96" s="8"/>
    </row>
    <row r="97" customFormat="false" ht="15" hidden="false" customHeight="false" outlineLevel="0" collapsed="false">
      <c r="A97" s="9"/>
      <c r="B97" s="9"/>
      <c r="C97" s="11" t="str">
        <f aca="false">IF(B97="","",IFERROR(INDEX('Evaluación de riesgos'!$H$5:$H$204,MATCH(B97,'Evaluación de riesgos'!$A$5:$A$204,0)),"ID no encontrado"))</f>
        <v/>
      </c>
      <c r="D97" s="13" t="str">
        <f aca="false">IF(B97="","",IFERROR(INDEX('Evaluación de riesgos'!$O$5:$O$204,MATCH(B97,'Evaluación de riesgos'!$A$5:$A$204,0)),""))</f>
        <v/>
      </c>
      <c r="E97" s="8"/>
      <c r="F97" s="8"/>
      <c r="G97" s="8"/>
      <c r="H97" s="8"/>
      <c r="I97" s="14"/>
      <c r="J97" s="14"/>
      <c r="K97" s="9"/>
      <c r="L97" s="15"/>
      <c r="M97" s="13" t="str">
        <f aca="true">IF(OR(J97="",K97="Completada",K97="Cancelada"),"",IF(J97&lt;TODAY(),"Sí","No"))</f>
        <v/>
      </c>
      <c r="N97" s="8"/>
    </row>
    <row r="98" customFormat="false" ht="15" hidden="false" customHeight="false" outlineLevel="0" collapsed="false">
      <c r="A98" s="9"/>
      <c r="B98" s="9"/>
      <c r="C98" s="11" t="str">
        <f aca="false">IF(B98="","",IFERROR(INDEX('Evaluación de riesgos'!$H$5:$H$204,MATCH(B98,'Evaluación de riesgos'!$A$5:$A$204,0)),"ID no encontrado"))</f>
        <v/>
      </c>
      <c r="D98" s="13" t="str">
        <f aca="false">IF(B98="","",IFERROR(INDEX('Evaluación de riesgos'!$O$5:$O$204,MATCH(B98,'Evaluación de riesgos'!$A$5:$A$204,0)),""))</f>
        <v/>
      </c>
      <c r="E98" s="8"/>
      <c r="F98" s="8"/>
      <c r="G98" s="8"/>
      <c r="H98" s="8"/>
      <c r="I98" s="14"/>
      <c r="J98" s="14"/>
      <c r="K98" s="9"/>
      <c r="L98" s="15"/>
      <c r="M98" s="13" t="str">
        <f aca="true">IF(OR(J98="",K98="Completada",K98="Cancelada"),"",IF(J98&lt;TODAY(),"Sí","No"))</f>
        <v/>
      </c>
      <c r="N98" s="8"/>
    </row>
    <row r="99" customFormat="false" ht="15" hidden="false" customHeight="false" outlineLevel="0" collapsed="false">
      <c r="A99" s="9"/>
      <c r="B99" s="9"/>
      <c r="C99" s="11" t="str">
        <f aca="false">IF(B99="","",IFERROR(INDEX('Evaluación de riesgos'!$H$5:$H$204,MATCH(B99,'Evaluación de riesgos'!$A$5:$A$204,0)),"ID no encontrado"))</f>
        <v/>
      </c>
      <c r="D99" s="13" t="str">
        <f aca="false">IF(B99="","",IFERROR(INDEX('Evaluación de riesgos'!$O$5:$O$204,MATCH(B99,'Evaluación de riesgos'!$A$5:$A$204,0)),""))</f>
        <v/>
      </c>
      <c r="E99" s="8"/>
      <c r="F99" s="8"/>
      <c r="G99" s="8"/>
      <c r="H99" s="8"/>
      <c r="I99" s="14"/>
      <c r="J99" s="14"/>
      <c r="K99" s="9"/>
      <c r="L99" s="15"/>
      <c r="M99" s="13" t="str">
        <f aca="true">IF(OR(J99="",K99="Completada",K99="Cancelada"),"",IF(J99&lt;TODAY(),"Sí","No"))</f>
        <v/>
      </c>
      <c r="N99" s="8"/>
    </row>
    <row r="100" customFormat="false" ht="15" hidden="false" customHeight="false" outlineLevel="0" collapsed="false">
      <c r="A100" s="9"/>
      <c r="B100" s="9"/>
      <c r="C100" s="11" t="str">
        <f aca="false">IF(B100="","",IFERROR(INDEX('Evaluación de riesgos'!$H$5:$H$204,MATCH(B100,'Evaluación de riesgos'!$A$5:$A$204,0)),"ID no encontrado"))</f>
        <v/>
      </c>
      <c r="D100" s="13" t="str">
        <f aca="false">IF(B100="","",IFERROR(INDEX('Evaluación de riesgos'!$O$5:$O$204,MATCH(B100,'Evaluación de riesgos'!$A$5:$A$204,0)),""))</f>
        <v/>
      </c>
      <c r="E100" s="8"/>
      <c r="F100" s="8"/>
      <c r="G100" s="8"/>
      <c r="H100" s="8"/>
      <c r="I100" s="14"/>
      <c r="J100" s="14"/>
      <c r="K100" s="9"/>
      <c r="L100" s="15"/>
      <c r="M100" s="13" t="str">
        <f aca="true">IF(OR(J100="",K100="Completada",K100="Cancelada"),"",IF(J100&lt;TODAY(),"Sí","No"))</f>
        <v/>
      </c>
      <c r="N100" s="8"/>
    </row>
    <row r="101" customFormat="false" ht="15" hidden="false" customHeight="false" outlineLevel="0" collapsed="false">
      <c r="A101" s="9"/>
      <c r="B101" s="9"/>
      <c r="C101" s="11" t="str">
        <f aca="false">IF(B101="","",IFERROR(INDEX('Evaluación de riesgos'!$H$5:$H$204,MATCH(B101,'Evaluación de riesgos'!$A$5:$A$204,0)),"ID no encontrado"))</f>
        <v/>
      </c>
      <c r="D101" s="13" t="str">
        <f aca="false">IF(B101="","",IFERROR(INDEX('Evaluación de riesgos'!$O$5:$O$204,MATCH(B101,'Evaluación de riesgos'!$A$5:$A$204,0)),""))</f>
        <v/>
      </c>
      <c r="E101" s="8"/>
      <c r="F101" s="8"/>
      <c r="G101" s="8"/>
      <c r="H101" s="8"/>
      <c r="I101" s="14"/>
      <c r="J101" s="14"/>
      <c r="K101" s="9"/>
      <c r="L101" s="15"/>
      <c r="M101" s="13" t="str">
        <f aca="true">IF(OR(J101="",K101="Completada",K101="Cancelada"),"",IF(J101&lt;TODAY(),"Sí","No"))</f>
        <v/>
      </c>
      <c r="N101" s="8"/>
    </row>
    <row r="102" customFormat="false" ht="15" hidden="false" customHeight="false" outlineLevel="0" collapsed="false">
      <c r="A102" s="9"/>
      <c r="B102" s="9"/>
      <c r="C102" s="11" t="str">
        <f aca="false">IF(B102="","",IFERROR(INDEX('Evaluación de riesgos'!$H$5:$H$204,MATCH(B102,'Evaluación de riesgos'!$A$5:$A$204,0)),"ID no encontrado"))</f>
        <v/>
      </c>
      <c r="D102" s="13" t="str">
        <f aca="false">IF(B102="","",IFERROR(INDEX('Evaluación de riesgos'!$O$5:$O$204,MATCH(B102,'Evaluación de riesgos'!$A$5:$A$204,0)),""))</f>
        <v/>
      </c>
      <c r="E102" s="8"/>
      <c r="F102" s="8"/>
      <c r="G102" s="8"/>
      <c r="H102" s="8"/>
      <c r="I102" s="14"/>
      <c r="J102" s="14"/>
      <c r="K102" s="9"/>
      <c r="L102" s="15"/>
      <c r="M102" s="13" t="str">
        <f aca="true">IF(OR(J102="",K102="Completada",K102="Cancelada"),"",IF(J102&lt;TODAY(),"Sí","No"))</f>
        <v/>
      </c>
      <c r="N102" s="8"/>
    </row>
    <row r="103" customFormat="false" ht="15" hidden="false" customHeight="false" outlineLevel="0" collapsed="false">
      <c r="A103" s="9"/>
      <c r="B103" s="9"/>
      <c r="C103" s="11" t="str">
        <f aca="false">IF(B103="","",IFERROR(INDEX('Evaluación de riesgos'!$H$5:$H$204,MATCH(B103,'Evaluación de riesgos'!$A$5:$A$204,0)),"ID no encontrado"))</f>
        <v/>
      </c>
      <c r="D103" s="13" t="str">
        <f aca="false">IF(B103="","",IFERROR(INDEX('Evaluación de riesgos'!$O$5:$O$204,MATCH(B103,'Evaluación de riesgos'!$A$5:$A$204,0)),""))</f>
        <v/>
      </c>
      <c r="E103" s="8"/>
      <c r="F103" s="8"/>
      <c r="G103" s="8"/>
      <c r="H103" s="8"/>
      <c r="I103" s="14"/>
      <c r="J103" s="14"/>
      <c r="K103" s="9"/>
      <c r="L103" s="15"/>
      <c r="M103" s="13" t="str">
        <f aca="true">IF(OR(J103="",K103="Completada",K103="Cancelada"),"",IF(J103&lt;TODAY(),"Sí","No"))</f>
        <v/>
      </c>
      <c r="N103" s="8"/>
    </row>
    <row r="104" customFormat="false" ht="15" hidden="false" customHeight="false" outlineLevel="0" collapsed="false">
      <c r="A104" s="9"/>
      <c r="B104" s="9"/>
      <c r="C104" s="11" t="str">
        <f aca="false">IF(B104="","",IFERROR(INDEX('Evaluación de riesgos'!$H$5:$H$204,MATCH(B104,'Evaluación de riesgos'!$A$5:$A$204,0)),"ID no encontrado"))</f>
        <v/>
      </c>
      <c r="D104" s="13" t="str">
        <f aca="false">IF(B104="","",IFERROR(INDEX('Evaluación de riesgos'!$O$5:$O$204,MATCH(B104,'Evaluación de riesgos'!$A$5:$A$204,0)),""))</f>
        <v/>
      </c>
      <c r="E104" s="8"/>
      <c r="F104" s="8"/>
      <c r="G104" s="8"/>
      <c r="H104" s="8"/>
      <c r="I104" s="14"/>
      <c r="J104" s="14"/>
      <c r="K104" s="9"/>
      <c r="L104" s="15"/>
      <c r="M104" s="13" t="str">
        <f aca="true">IF(OR(J104="",K104="Completada",K104="Cancelada"),"",IF(J104&lt;TODAY(),"Sí","No"))</f>
        <v/>
      </c>
      <c r="N104" s="8"/>
    </row>
    <row r="105" customFormat="false" ht="15" hidden="false" customHeight="false" outlineLevel="0" collapsed="false">
      <c r="A105" s="9"/>
      <c r="B105" s="9"/>
      <c r="C105" s="11" t="str">
        <f aca="false">IF(B105="","",IFERROR(INDEX('Evaluación de riesgos'!$H$5:$H$204,MATCH(B105,'Evaluación de riesgos'!$A$5:$A$204,0)),"ID no encontrado"))</f>
        <v/>
      </c>
      <c r="D105" s="13" t="str">
        <f aca="false">IF(B105="","",IFERROR(INDEX('Evaluación de riesgos'!$O$5:$O$204,MATCH(B105,'Evaluación de riesgos'!$A$5:$A$204,0)),""))</f>
        <v/>
      </c>
      <c r="E105" s="8"/>
      <c r="F105" s="8"/>
      <c r="G105" s="8"/>
      <c r="H105" s="8"/>
      <c r="I105" s="14"/>
      <c r="J105" s="14"/>
      <c r="K105" s="9"/>
      <c r="L105" s="15"/>
      <c r="M105" s="13" t="str">
        <f aca="true">IF(OR(J105="",K105="Completada",K105="Cancelada"),"",IF(J105&lt;TODAY(),"Sí","No"))</f>
        <v/>
      </c>
      <c r="N105" s="8"/>
    </row>
    <row r="106" customFormat="false" ht="15" hidden="false" customHeight="false" outlineLevel="0" collapsed="false">
      <c r="A106" s="9"/>
      <c r="B106" s="9"/>
      <c r="C106" s="11" t="str">
        <f aca="false">IF(B106="","",IFERROR(INDEX('Evaluación de riesgos'!$H$5:$H$204,MATCH(B106,'Evaluación de riesgos'!$A$5:$A$204,0)),"ID no encontrado"))</f>
        <v/>
      </c>
      <c r="D106" s="13" t="str">
        <f aca="false">IF(B106="","",IFERROR(INDEX('Evaluación de riesgos'!$O$5:$O$204,MATCH(B106,'Evaluación de riesgos'!$A$5:$A$204,0)),""))</f>
        <v/>
      </c>
      <c r="E106" s="8"/>
      <c r="F106" s="8"/>
      <c r="G106" s="8"/>
      <c r="H106" s="8"/>
      <c r="I106" s="14"/>
      <c r="J106" s="14"/>
      <c r="K106" s="9"/>
      <c r="L106" s="15"/>
      <c r="M106" s="13" t="str">
        <f aca="true">IF(OR(J106="",K106="Completada",K106="Cancelada"),"",IF(J106&lt;TODAY(),"Sí","No"))</f>
        <v/>
      </c>
      <c r="N106" s="8"/>
    </row>
    <row r="107" customFormat="false" ht="15" hidden="false" customHeight="false" outlineLevel="0" collapsed="false">
      <c r="A107" s="9"/>
      <c r="B107" s="9"/>
      <c r="C107" s="11" t="str">
        <f aca="false">IF(B107="","",IFERROR(INDEX('Evaluación de riesgos'!$H$5:$H$204,MATCH(B107,'Evaluación de riesgos'!$A$5:$A$204,0)),"ID no encontrado"))</f>
        <v/>
      </c>
      <c r="D107" s="13" t="str">
        <f aca="false">IF(B107="","",IFERROR(INDEX('Evaluación de riesgos'!$O$5:$O$204,MATCH(B107,'Evaluación de riesgos'!$A$5:$A$204,0)),""))</f>
        <v/>
      </c>
      <c r="E107" s="8"/>
      <c r="F107" s="8"/>
      <c r="G107" s="8"/>
      <c r="H107" s="8"/>
      <c r="I107" s="14"/>
      <c r="J107" s="14"/>
      <c r="K107" s="9"/>
      <c r="L107" s="15"/>
      <c r="M107" s="13" t="str">
        <f aca="true">IF(OR(J107="",K107="Completada",K107="Cancelada"),"",IF(J107&lt;TODAY(),"Sí","No"))</f>
        <v/>
      </c>
      <c r="N107" s="8"/>
    </row>
    <row r="108" customFormat="false" ht="15" hidden="false" customHeight="false" outlineLevel="0" collapsed="false">
      <c r="A108" s="9"/>
      <c r="B108" s="9"/>
      <c r="C108" s="11" t="str">
        <f aca="false">IF(B108="","",IFERROR(INDEX('Evaluación de riesgos'!$H$5:$H$204,MATCH(B108,'Evaluación de riesgos'!$A$5:$A$204,0)),"ID no encontrado"))</f>
        <v/>
      </c>
      <c r="D108" s="13" t="str">
        <f aca="false">IF(B108="","",IFERROR(INDEX('Evaluación de riesgos'!$O$5:$O$204,MATCH(B108,'Evaluación de riesgos'!$A$5:$A$204,0)),""))</f>
        <v/>
      </c>
      <c r="E108" s="8"/>
      <c r="F108" s="8"/>
      <c r="G108" s="8"/>
      <c r="H108" s="8"/>
      <c r="I108" s="14"/>
      <c r="J108" s="14"/>
      <c r="K108" s="9"/>
      <c r="L108" s="15"/>
      <c r="M108" s="13" t="str">
        <f aca="true">IF(OR(J108="",K108="Completada",K108="Cancelada"),"",IF(J108&lt;TODAY(),"Sí","No"))</f>
        <v/>
      </c>
      <c r="N108" s="8"/>
    </row>
    <row r="109" customFormat="false" ht="15" hidden="false" customHeight="false" outlineLevel="0" collapsed="false">
      <c r="A109" s="9"/>
      <c r="B109" s="9"/>
      <c r="C109" s="11" t="str">
        <f aca="false">IF(B109="","",IFERROR(INDEX('Evaluación de riesgos'!$H$5:$H$204,MATCH(B109,'Evaluación de riesgos'!$A$5:$A$204,0)),"ID no encontrado"))</f>
        <v/>
      </c>
      <c r="D109" s="13" t="str">
        <f aca="false">IF(B109="","",IFERROR(INDEX('Evaluación de riesgos'!$O$5:$O$204,MATCH(B109,'Evaluación de riesgos'!$A$5:$A$204,0)),""))</f>
        <v/>
      </c>
      <c r="E109" s="8"/>
      <c r="F109" s="8"/>
      <c r="G109" s="8"/>
      <c r="H109" s="8"/>
      <c r="I109" s="14"/>
      <c r="J109" s="14"/>
      <c r="K109" s="9"/>
      <c r="L109" s="15"/>
      <c r="M109" s="13" t="str">
        <f aca="true">IF(OR(J109="",K109="Completada",K109="Cancelada"),"",IF(J109&lt;TODAY(),"Sí","No"))</f>
        <v/>
      </c>
      <c r="N109" s="8"/>
    </row>
    <row r="110" customFormat="false" ht="15" hidden="false" customHeight="false" outlineLevel="0" collapsed="false">
      <c r="A110" s="9"/>
      <c r="B110" s="9"/>
      <c r="C110" s="11" t="str">
        <f aca="false">IF(B110="","",IFERROR(INDEX('Evaluación de riesgos'!$H$5:$H$204,MATCH(B110,'Evaluación de riesgos'!$A$5:$A$204,0)),"ID no encontrado"))</f>
        <v/>
      </c>
      <c r="D110" s="13" t="str">
        <f aca="false">IF(B110="","",IFERROR(INDEX('Evaluación de riesgos'!$O$5:$O$204,MATCH(B110,'Evaluación de riesgos'!$A$5:$A$204,0)),""))</f>
        <v/>
      </c>
      <c r="E110" s="8"/>
      <c r="F110" s="8"/>
      <c r="G110" s="8"/>
      <c r="H110" s="8"/>
      <c r="I110" s="14"/>
      <c r="J110" s="14"/>
      <c r="K110" s="9"/>
      <c r="L110" s="15"/>
      <c r="M110" s="13" t="str">
        <f aca="true">IF(OR(J110="",K110="Completada",K110="Cancelada"),"",IF(J110&lt;TODAY(),"Sí","No"))</f>
        <v/>
      </c>
      <c r="N110" s="8"/>
    </row>
    <row r="111" customFormat="false" ht="15" hidden="false" customHeight="false" outlineLevel="0" collapsed="false">
      <c r="A111" s="9"/>
      <c r="B111" s="9"/>
      <c r="C111" s="11" t="str">
        <f aca="false">IF(B111="","",IFERROR(INDEX('Evaluación de riesgos'!$H$5:$H$204,MATCH(B111,'Evaluación de riesgos'!$A$5:$A$204,0)),"ID no encontrado"))</f>
        <v/>
      </c>
      <c r="D111" s="13" t="str">
        <f aca="false">IF(B111="","",IFERROR(INDEX('Evaluación de riesgos'!$O$5:$O$204,MATCH(B111,'Evaluación de riesgos'!$A$5:$A$204,0)),""))</f>
        <v/>
      </c>
      <c r="E111" s="8"/>
      <c r="F111" s="8"/>
      <c r="G111" s="8"/>
      <c r="H111" s="8"/>
      <c r="I111" s="14"/>
      <c r="J111" s="14"/>
      <c r="K111" s="9"/>
      <c r="L111" s="15"/>
      <c r="M111" s="13" t="str">
        <f aca="true">IF(OR(J111="",K111="Completada",K111="Cancelada"),"",IF(J111&lt;TODAY(),"Sí","No"))</f>
        <v/>
      </c>
      <c r="N111" s="8"/>
    </row>
    <row r="112" customFormat="false" ht="15" hidden="false" customHeight="false" outlineLevel="0" collapsed="false">
      <c r="A112" s="9"/>
      <c r="B112" s="9"/>
      <c r="C112" s="11" t="str">
        <f aca="false">IF(B112="","",IFERROR(INDEX('Evaluación de riesgos'!$H$5:$H$204,MATCH(B112,'Evaluación de riesgos'!$A$5:$A$204,0)),"ID no encontrado"))</f>
        <v/>
      </c>
      <c r="D112" s="13" t="str">
        <f aca="false">IF(B112="","",IFERROR(INDEX('Evaluación de riesgos'!$O$5:$O$204,MATCH(B112,'Evaluación de riesgos'!$A$5:$A$204,0)),""))</f>
        <v/>
      </c>
      <c r="E112" s="8"/>
      <c r="F112" s="8"/>
      <c r="G112" s="8"/>
      <c r="H112" s="8"/>
      <c r="I112" s="14"/>
      <c r="J112" s="14"/>
      <c r="K112" s="9"/>
      <c r="L112" s="15"/>
      <c r="M112" s="13" t="str">
        <f aca="true">IF(OR(J112="",K112="Completada",K112="Cancelada"),"",IF(J112&lt;TODAY(),"Sí","No"))</f>
        <v/>
      </c>
      <c r="N112" s="8"/>
    </row>
    <row r="113" customFormat="false" ht="15" hidden="false" customHeight="false" outlineLevel="0" collapsed="false">
      <c r="A113" s="9"/>
      <c r="B113" s="9"/>
      <c r="C113" s="11" t="str">
        <f aca="false">IF(B113="","",IFERROR(INDEX('Evaluación de riesgos'!$H$5:$H$204,MATCH(B113,'Evaluación de riesgos'!$A$5:$A$204,0)),"ID no encontrado"))</f>
        <v/>
      </c>
      <c r="D113" s="13" t="str">
        <f aca="false">IF(B113="","",IFERROR(INDEX('Evaluación de riesgos'!$O$5:$O$204,MATCH(B113,'Evaluación de riesgos'!$A$5:$A$204,0)),""))</f>
        <v/>
      </c>
      <c r="E113" s="8"/>
      <c r="F113" s="8"/>
      <c r="G113" s="8"/>
      <c r="H113" s="8"/>
      <c r="I113" s="14"/>
      <c r="J113" s="14"/>
      <c r="K113" s="9"/>
      <c r="L113" s="15"/>
      <c r="M113" s="13" t="str">
        <f aca="true">IF(OR(J113="",K113="Completada",K113="Cancelada"),"",IF(J113&lt;TODAY(),"Sí","No"))</f>
        <v/>
      </c>
      <c r="N113" s="8"/>
    </row>
    <row r="114" customFormat="false" ht="15" hidden="false" customHeight="false" outlineLevel="0" collapsed="false">
      <c r="A114" s="9"/>
      <c r="B114" s="9"/>
      <c r="C114" s="11" t="str">
        <f aca="false">IF(B114="","",IFERROR(INDEX('Evaluación de riesgos'!$H$5:$H$204,MATCH(B114,'Evaluación de riesgos'!$A$5:$A$204,0)),"ID no encontrado"))</f>
        <v/>
      </c>
      <c r="D114" s="13" t="str">
        <f aca="false">IF(B114="","",IFERROR(INDEX('Evaluación de riesgos'!$O$5:$O$204,MATCH(B114,'Evaluación de riesgos'!$A$5:$A$204,0)),""))</f>
        <v/>
      </c>
      <c r="E114" s="8"/>
      <c r="F114" s="8"/>
      <c r="G114" s="8"/>
      <c r="H114" s="8"/>
      <c r="I114" s="14"/>
      <c r="J114" s="14"/>
      <c r="K114" s="9"/>
      <c r="L114" s="15"/>
      <c r="M114" s="13" t="str">
        <f aca="true">IF(OR(J114="",K114="Completada",K114="Cancelada"),"",IF(J114&lt;TODAY(),"Sí","No"))</f>
        <v/>
      </c>
      <c r="N114" s="8"/>
    </row>
    <row r="115" customFormat="false" ht="15" hidden="false" customHeight="false" outlineLevel="0" collapsed="false">
      <c r="A115" s="9"/>
      <c r="B115" s="9"/>
      <c r="C115" s="11" t="str">
        <f aca="false">IF(B115="","",IFERROR(INDEX('Evaluación de riesgos'!$H$5:$H$204,MATCH(B115,'Evaluación de riesgos'!$A$5:$A$204,0)),"ID no encontrado"))</f>
        <v/>
      </c>
      <c r="D115" s="13" t="str">
        <f aca="false">IF(B115="","",IFERROR(INDEX('Evaluación de riesgos'!$O$5:$O$204,MATCH(B115,'Evaluación de riesgos'!$A$5:$A$204,0)),""))</f>
        <v/>
      </c>
      <c r="E115" s="8"/>
      <c r="F115" s="8"/>
      <c r="G115" s="8"/>
      <c r="H115" s="8"/>
      <c r="I115" s="14"/>
      <c r="J115" s="14"/>
      <c r="K115" s="9"/>
      <c r="L115" s="15"/>
      <c r="M115" s="13" t="str">
        <f aca="true">IF(OR(J115="",K115="Completada",K115="Cancelada"),"",IF(J115&lt;TODAY(),"Sí","No"))</f>
        <v/>
      </c>
      <c r="N115" s="8"/>
    </row>
    <row r="116" customFormat="false" ht="15" hidden="false" customHeight="false" outlineLevel="0" collapsed="false">
      <c r="A116" s="9"/>
      <c r="B116" s="9"/>
      <c r="C116" s="11" t="str">
        <f aca="false">IF(B116="","",IFERROR(INDEX('Evaluación de riesgos'!$H$5:$H$204,MATCH(B116,'Evaluación de riesgos'!$A$5:$A$204,0)),"ID no encontrado"))</f>
        <v/>
      </c>
      <c r="D116" s="13" t="str">
        <f aca="false">IF(B116="","",IFERROR(INDEX('Evaluación de riesgos'!$O$5:$O$204,MATCH(B116,'Evaluación de riesgos'!$A$5:$A$204,0)),""))</f>
        <v/>
      </c>
      <c r="E116" s="8"/>
      <c r="F116" s="8"/>
      <c r="G116" s="8"/>
      <c r="H116" s="8"/>
      <c r="I116" s="14"/>
      <c r="J116" s="14"/>
      <c r="K116" s="9"/>
      <c r="L116" s="15"/>
      <c r="M116" s="13" t="str">
        <f aca="true">IF(OR(J116="",K116="Completada",K116="Cancelada"),"",IF(J116&lt;TODAY(),"Sí","No"))</f>
        <v/>
      </c>
      <c r="N116" s="8"/>
    </row>
    <row r="117" customFormat="false" ht="15" hidden="false" customHeight="false" outlineLevel="0" collapsed="false">
      <c r="A117" s="9"/>
      <c r="B117" s="9"/>
      <c r="C117" s="11" t="str">
        <f aca="false">IF(B117="","",IFERROR(INDEX('Evaluación de riesgos'!$H$5:$H$204,MATCH(B117,'Evaluación de riesgos'!$A$5:$A$204,0)),"ID no encontrado"))</f>
        <v/>
      </c>
      <c r="D117" s="13" t="str">
        <f aca="false">IF(B117="","",IFERROR(INDEX('Evaluación de riesgos'!$O$5:$O$204,MATCH(B117,'Evaluación de riesgos'!$A$5:$A$204,0)),""))</f>
        <v/>
      </c>
      <c r="E117" s="8"/>
      <c r="F117" s="8"/>
      <c r="G117" s="8"/>
      <c r="H117" s="8"/>
      <c r="I117" s="14"/>
      <c r="J117" s="14"/>
      <c r="K117" s="9"/>
      <c r="L117" s="15"/>
      <c r="M117" s="13" t="str">
        <f aca="true">IF(OR(J117="",K117="Completada",K117="Cancelada"),"",IF(J117&lt;TODAY(),"Sí","No"))</f>
        <v/>
      </c>
      <c r="N117" s="8"/>
    </row>
    <row r="118" customFormat="false" ht="15" hidden="false" customHeight="false" outlineLevel="0" collapsed="false">
      <c r="A118" s="9"/>
      <c r="B118" s="9"/>
      <c r="C118" s="11" t="str">
        <f aca="false">IF(B118="","",IFERROR(INDEX('Evaluación de riesgos'!$H$5:$H$204,MATCH(B118,'Evaluación de riesgos'!$A$5:$A$204,0)),"ID no encontrado"))</f>
        <v/>
      </c>
      <c r="D118" s="13" t="str">
        <f aca="false">IF(B118="","",IFERROR(INDEX('Evaluación de riesgos'!$O$5:$O$204,MATCH(B118,'Evaluación de riesgos'!$A$5:$A$204,0)),""))</f>
        <v/>
      </c>
      <c r="E118" s="8"/>
      <c r="F118" s="8"/>
      <c r="G118" s="8"/>
      <c r="H118" s="8"/>
      <c r="I118" s="14"/>
      <c r="J118" s="14"/>
      <c r="K118" s="9"/>
      <c r="L118" s="15"/>
      <c r="M118" s="13" t="str">
        <f aca="true">IF(OR(J118="",K118="Completada",K118="Cancelada"),"",IF(J118&lt;TODAY(),"Sí","No"))</f>
        <v/>
      </c>
      <c r="N118" s="8"/>
    </row>
    <row r="119" customFormat="false" ht="15" hidden="false" customHeight="false" outlineLevel="0" collapsed="false">
      <c r="A119" s="9"/>
      <c r="B119" s="9"/>
      <c r="C119" s="11" t="str">
        <f aca="false">IF(B119="","",IFERROR(INDEX('Evaluación de riesgos'!$H$5:$H$204,MATCH(B119,'Evaluación de riesgos'!$A$5:$A$204,0)),"ID no encontrado"))</f>
        <v/>
      </c>
      <c r="D119" s="13" t="str">
        <f aca="false">IF(B119="","",IFERROR(INDEX('Evaluación de riesgos'!$O$5:$O$204,MATCH(B119,'Evaluación de riesgos'!$A$5:$A$204,0)),""))</f>
        <v/>
      </c>
      <c r="E119" s="8"/>
      <c r="F119" s="8"/>
      <c r="G119" s="8"/>
      <c r="H119" s="8"/>
      <c r="I119" s="14"/>
      <c r="J119" s="14"/>
      <c r="K119" s="9"/>
      <c r="L119" s="15"/>
      <c r="M119" s="13" t="str">
        <f aca="true">IF(OR(J119="",K119="Completada",K119="Cancelada"),"",IF(J119&lt;TODAY(),"Sí","No"))</f>
        <v/>
      </c>
      <c r="N119" s="8"/>
    </row>
    <row r="120" customFormat="false" ht="15" hidden="false" customHeight="false" outlineLevel="0" collapsed="false">
      <c r="A120" s="9"/>
      <c r="B120" s="9"/>
      <c r="C120" s="11" t="str">
        <f aca="false">IF(B120="","",IFERROR(INDEX('Evaluación de riesgos'!$H$5:$H$204,MATCH(B120,'Evaluación de riesgos'!$A$5:$A$204,0)),"ID no encontrado"))</f>
        <v/>
      </c>
      <c r="D120" s="13" t="str">
        <f aca="false">IF(B120="","",IFERROR(INDEX('Evaluación de riesgos'!$O$5:$O$204,MATCH(B120,'Evaluación de riesgos'!$A$5:$A$204,0)),""))</f>
        <v/>
      </c>
      <c r="E120" s="8"/>
      <c r="F120" s="8"/>
      <c r="G120" s="8"/>
      <c r="H120" s="8"/>
      <c r="I120" s="14"/>
      <c r="J120" s="14"/>
      <c r="K120" s="9"/>
      <c r="L120" s="15"/>
      <c r="M120" s="13" t="str">
        <f aca="true">IF(OR(J120="",K120="Completada",K120="Cancelada"),"",IF(J120&lt;TODAY(),"Sí","No"))</f>
        <v/>
      </c>
      <c r="N120" s="8"/>
    </row>
    <row r="121" customFormat="false" ht="15" hidden="false" customHeight="false" outlineLevel="0" collapsed="false">
      <c r="A121" s="9"/>
      <c r="B121" s="9"/>
      <c r="C121" s="11" t="str">
        <f aca="false">IF(B121="","",IFERROR(INDEX('Evaluación de riesgos'!$H$5:$H$204,MATCH(B121,'Evaluación de riesgos'!$A$5:$A$204,0)),"ID no encontrado"))</f>
        <v/>
      </c>
      <c r="D121" s="13" t="str">
        <f aca="false">IF(B121="","",IFERROR(INDEX('Evaluación de riesgos'!$O$5:$O$204,MATCH(B121,'Evaluación de riesgos'!$A$5:$A$204,0)),""))</f>
        <v/>
      </c>
      <c r="E121" s="8"/>
      <c r="F121" s="8"/>
      <c r="G121" s="8"/>
      <c r="H121" s="8"/>
      <c r="I121" s="14"/>
      <c r="J121" s="14"/>
      <c r="K121" s="9"/>
      <c r="L121" s="15"/>
      <c r="M121" s="13" t="str">
        <f aca="true">IF(OR(J121="",K121="Completada",K121="Cancelada"),"",IF(J121&lt;TODAY(),"Sí","No"))</f>
        <v/>
      </c>
      <c r="N121" s="8"/>
    </row>
    <row r="122" customFormat="false" ht="15" hidden="false" customHeight="false" outlineLevel="0" collapsed="false">
      <c r="A122" s="9"/>
      <c r="B122" s="9"/>
      <c r="C122" s="11" t="str">
        <f aca="false">IF(B122="","",IFERROR(INDEX('Evaluación de riesgos'!$H$5:$H$204,MATCH(B122,'Evaluación de riesgos'!$A$5:$A$204,0)),"ID no encontrado"))</f>
        <v/>
      </c>
      <c r="D122" s="13" t="str">
        <f aca="false">IF(B122="","",IFERROR(INDEX('Evaluación de riesgos'!$O$5:$O$204,MATCH(B122,'Evaluación de riesgos'!$A$5:$A$204,0)),""))</f>
        <v/>
      </c>
      <c r="E122" s="8"/>
      <c r="F122" s="8"/>
      <c r="G122" s="8"/>
      <c r="H122" s="8"/>
      <c r="I122" s="14"/>
      <c r="J122" s="14"/>
      <c r="K122" s="9"/>
      <c r="L122" s="15"/>
      <c r="M122" s="13" t="str">
        <f aca="true">IF(OR(J122="",K122="Completada",K122="Cancelada"),"",IF(J122&lt;TODAY(),"Sí","No"))</f>
        <v/>
      </c>
      <c r="N122" s="8"/>
    </row>
    <row r="123" customFormat="false" ht="15" hidden="false" customHeight="false" outlineLevel="0" collapsed="false">
      <c r="A123" s="9"/>
      <c r="B123" s="9"/>
      <c r="C123" s="11" t="str">
        <f aca="false">IF(B123="","",IFERROR(INDEX('Evaluación de riesgos'!$H$5:$H$204,MATCH(B123,'Evaluación de riesgos'!$A$5:$A$204,0)),"ID no encontrado"))</f>
        <v/>
      </c>
      <c r="D123" s="13" t="str">
        <f aca="false">IF(B123="","",IFERROR(INDEX('Evaluación de riesgos'!$O$5:$O$204,MATCH(B123,'Evaluación de riesgos'!$A$5:$A$204,0)),""))</f>
        <v/>
      </c>
      <c r="E123" s="8"/>
      <c r="F123" s="8"/>
      <c r="G123" s="8"/>
      <c r="H123" s="8"/>
      <c r="I123" s="14"/>
      <c r="J123" s="14"/>
      <c r="K123" s="9"/>
      <c r="L123" s="15"/>
      <c r="M123" s="13" t="str">
        <f aca="true">IF(OR(J123="",K123="Completada",K123="Cancelada"),"",IF(J123&lt;TODAY(),"Sí","No"))</f>
        <v/>
      </c>
      <c r="N123" s="8"/>
    </row>
    <row r="124" customFormat="false" ht="15" hidden="false" customHeight="false" outlineLevel="0" collapsed="false">
      <c r="A124" s="9"/>
      <c r="B124" s="9"/>
      <c r="C124" s="11" t="str">
        <f aca="false">IF(B124="","",IFERROR(INDEX('Evaluación de riesgos'!$H$5:$H$204,MATCH(B124,'Evaluación de riesgos'!$A$5:$A$204,0)),"ID no encontrado"))</f>
        <v/>
      </c>
      <c r="D124" s="13" t="str">
        <f aca="false">IF(B124="","",IFERROR(INDEX('Evaluación de riesgos'!$O$5:$O$204,MATCH(B124,'Evaluación de riesgos'!$A$5:$A$204,0)),""))</f>
        <v/>
      </c>
      <c r="E124" s="8"/>
      <c r="F124" s="8"/>
      <c r="G124" s="8"/>
      <c r="H124" s="8"/>
      <c r="I124" s="14"/>
      <c r="J124" s="14"/>
      <c r="K124" s="9"/>
      <c r="L124" s="15"/>
      <c r="M124" s="13" t="str">
        <f aca="true">IF(OR(J124="",K124="Completada",K124="Cancelada"),"",IF(J124&lt;TODAY(),"Sí","No"))</f>
        <v/>
      </c>
      <c r="N124" s="8"/>
    </row>
    <row r="125" customFormat="false" ht="15" hidden="false" customHeight="false" outlineLevel="0" collapsed="false">
      <c r="A125" s="9"/>
      <c r="B125" s="9"/>
      <c r="C125" s="11" t="str">
        <f aca="false">IF(B125="","",IFERROR(INDEX('Evaluación de riesgos'!$H$5:$H$204,MATCH(B125,'Evaluación de riesgos'!$A$5:$A$204,0)),"ID no encontrado"))</f>
        <v/>
      </c>
      <c r="D125" s="13" t="str">
        <f aca="false">IF(B125="","",IFERROR(INDEX('Evaluación de riesgos'!$O$5:$O$204,MATCH(B125,'Evaluación de riesgos'!$A$5:$A$204,0)),""))</f>
        <v/>
      </c>
      <c r="E125" s="8"/>
      <c r="F125" s="8"/>
      <c r="G125" s="8"/>
      <c r="H125" s="8"/>
      <c r="I125" s="14"/>
      <c r="J125" s="14"/>
      <c r="K125" s="9"/>
      <c r="L125" s="15"/>
      <c r="M125" s="13" t="str">
        <f aca="true">IF(OR(J125="",K125="Completada",K125="Cancelada"),"",IF(J125&lt;TODAY(),"Sí","No"))</f>
        <v/>
      </c>
      <c r="N125" s="8"/>
    </row>
    <row r="126" customFormat="false" ht="15" hidden="false" customHeight="false" outlineLevel="0" collapsed="false">
      <c r="A126" s="9"/>
      <c r="B126" s="9"/>
      <c r="C126" s="11" t="str">
        <f aca="false">IF(B126="","",IFERROR(INDEX('Evaluación de riesgos'!$H$5:$H$204,MATCH(B126,'Evaluación de riesgos'!$A$5:$A$204,0)),"ID no encontrado"))</f>
        <v/>
      </c>
      <c r="D126" s="13" t="str">
        <f aca="false">IF(B126="","",IFERROR(INDEX('Evaluación de riesgos'!$O$5:$O$204,MATCH(B126,'Evaluación de riesgos'!$A$5:$A$204,0)),""))</f>
        <v/>
      </c>
      <c r="E126" s="8"/>
      <c r="F126" s="8"/>
      <c r="G126" s="8"/>
      <c r="H126" s="8"/>
      <c r="I126" s="14"/>
      <c r="J126" s="14"/>
      <c r="K126" s="9"/>
      <c r="L126" s="15"/>
      <c r="M126" s="13" t="str">
        <f aca="true">IF(OR(J126="",K126="Completada",K126="Cancelada"),"",IF(J126&lt;TODAY(),"Sí","No"))</f>
        <v/>
      </c>
      <c r="N126" s="8"/>
    </row>
    <row r="127" customFormat="false" ht="15" hidden="false" customHeight="false" outlineLevel="0" collapsed="false">
      <c r="A127" s="9"/>
      <c r="B127" s="9"/>
      <c r="C127" s="11" t="str">
        <f aca="false">IF(B127="","",IFERROR(INDEX('Evaluación de riesgos'!$H$5:$H$204,MATCH(B127,'Evaluación de riesgos'!$A$5:$A$204,0)),"ID no encontrado"))</f>
        <v/>
      </c>
      <c r="D127" s="13" t="str">
        <f aca="false">IF(B127="","",IFERROR(INDEX('Evaluación de riesgos'!$O$5:$O$204,MATCH(B127,'Evaluación de riesgos'!$A$5:$A$204,0)),""))</f>
        <v/>
      </c>
      <c r="E127" s="8"/>
      <c r="F127" s="8"/>
      <c r="G127" s="8"/>
      <c r="H127" s="8"/>
      <c r="I127" s="14"/>
      <c r="J127" s="14"/>
      <c r="K127" s="9"/>
      <c r="L127" s="15"/>
      <c r="M127" s="13" t="str">
        <f aca="true">IF(OR(J127="",K127="Completada",K127="Cancelada"),"",IF(J127&lt;TODAY(),"Sí","No"))</f>
        <v/>
      </c>
      <c r="N127" s="8"/>
    </row>
    <row r="128" customFormat="false" ht="15" hidden="false" customHeight="false" outlineLevel="0" collapsed="false">
      <c r="A128" s="9"/>
      <c r="B128" s="9"/>
      <c r="C128" s="11" t="str">
        <f aca="false">IF(B128="","",IFERROR(INDEX('Evaluación de riesgos'!$H$5:$H$204,MATCH(B128,'Evaluación de riesgos'!$A$5:$A$204,0)),"ID no encontrado"))</f>
        <v/>
      </c>
      <c r="D128" s="13" t="str">
        <f aca="false">IF(B128="","",IFERROR(INDEX('Evaluación de riesgos'!$O$5:$O$204,MATCH(B128,'Evaluación de riesgos'!$A$5:$A$204,0)),""))</f>
        <v/>
      </c>
      <c r="E128" s="8"/>
      <c r="F128" s="8"/>
      <c r="G128" s="8"/>
      <c r="H128" s="8"/>
      <c r="I128" s="14"/>
      <c r="J128" s="14"/>
      <c r="K128" s="9"/>
      <c r="L128" s="15"/>
      <c r="M128" s="13" t="str">
        <f aca="true">IF(OR(J128="",K128="Completada",K128="Cancelada"),"",IF(J128&lt;TODAY(),"Sí","No"))</f>
        <v/>
      </c>
      <c r="N128" s="8"/>
    </row>
    <row r="129" customFormat="false" ht="15" hidden="false" customHeight="false" outlineLevel="0" collapsed="false">
      <c r="A129" s="9"/>
      <c r="B129" s="9"/>
      <c r="C129" s="11" t="str">
        <f aca="false">IF(B129="","",IFERROR(INDEX('Evaluación de riesgos'!$H$5:$H$204,MATCH(B129,'Evaluación de riesgos'!$A$5:$A$204,0)),"ID no encontrado"))</f>
        <v/>
      </c>
      <c r="D129" s="13" t="str">
        <f aca="false">IF(B129="","",IFERROR(INDEX('Evaluación de riesgos'!$O$5:$O$204,MATCH(B129,'Evaluación de riesgos'!$A$5:$A$204,0)),""))</f>
        <v/>
      </c>
      <c r="E129" s="8"/>
      <c r="F129" s="8"/>
      <c r="G129" s="8"/>
      <c r="H129" s="8"/>
      <c r="I129" s="14"/>
      <c r="J129" s="14"/>
      <c r="K129" s="9"/>
      <c r="L129" s="15"/>
      <c r="M129" s="13" t="str">
        <f aca="true">IF(OR(J129="",K129="Completada",K129="Cancelada"),"",IF(J129&lt;TODAY(),"Sí","No"))</f>
        <v/>
      </c>
      <c r="N129" s="8"/>
    </row>
    <row r="130" customFormat="false" ht="15" hidden="false" customHeight="false" outlineLevel="0" collapsed="false">
      <c r="A130" s="9"/>
      <c r="B130" s="9"/>
      <c r="C130" s="11" t="str">
        <f aca="false">IF(B130="","",IFERROR(INDEX('Evaluación de riesgos'!$H$5:$H$204,MATCH(B130,'Evaluación de riesgos'!$A$5:$A$204,0)),"ID no encontrado"))</f>
        <v/>
      </c>
      <c r="D130" s="13" t="str">
        <f aca="false">IF(B130="","",IFERROR(INDEX('Evaluación de riesgos'!$O$5:$O$204,MATCH(B130,'Evaluación de riesgos'!$A$5:$A$204,0)),""))</f>
        <v/>
      </c>
      <c r="E130" s="8"/>
      <c r="F130" s="8"/>
      <c r="G130" s="8"/>
      <c r="H130" s="8"/>
      <c r="I130" s="14"/>
      <c r="J130" s="14"/>
      <c r="K130" s="9"/>
      <c r="L130" s="15"/>
      <c r="M130" s="13" t="str">
        <f aca="true">IF(OR(J130="",K130="Completada",K130="Cancelada"),"",IF(J130&lt;TODAY(),"Sí","No"))</f>
        <v/>
      </c>
      <c r="N130" s="8"/>
    </row>
    <row r="131" customFormat="false" ht="15" hidden="false" customHeight="false" outlineLevel="0" collapsed="false">
      <c r="A131" s="9"/>
      <c r="B131" s="9"/>
      <c r="C131" s="11" t="str">
        <f aca="false">IF(B131="","",IFERROR(INDEX('Evaluación de riesgos'!$H$5:$H$204,MATCH(B131,'Evaluación de riesgos'!$A$5:$A$204,0)),"ID no encontrado"))</f>
        <v/>
      </c>
      <c r="D131" s="13" t="str">
        <f aca="false">IF(B131="","",IFERROR(INDEX('Evaluación de riesgos'!$O$5:$O$204,MATCH(B131,'Evaluación de riesgos'!$A$5:$A$204,0)),""))</f>
        <v/>
      </c>
      <c r="E131" s="8"/>
      <c r="F131" s="8"/>
      <c r="G131" s="8"/>
      <c r="H131" s="8"/>
      <c r="I131" s="14"/>
      <c r="J131" s="14"/>
      <c r="K131" s="9"/>
      <c r="L131" s="15"/>
      <c r="M131" s="13" t="str">
        <f aca="true">IF(OR(J131="",K131="Completada",K131="Cancelada"),"",IF(J131&lt;TODAY(),"Sí","No"))</f>
        <v/>
      </c>
      <c r="N131" s="8"/>
    </row>
    <row r="132" customFormat="false" ht="15" hidden="false" customHeight="false" outlineLevel="0" collapsed="false">
      <c r="A132" s="9"/>
      <c r="B132" s="9"/>
      <c r="C132" s="11" t="str">
        <f aca="false">IF(B132="","",IFERROR(INDEX('Evaluación de riesgos'!$H$5:$H$204,MATCH(B132,'Evaluación de riesgos'!$A$5:$A$204,0)),"ID no encontrado"))</f>
        <v/>
      </c>
      <c r="D132" s="13" t="str">
        <f aca="false">IF(B132="","",IFERROR(INDEX('Evaluación de riesgos'!$O$5:$O$204,MATCH(B132,'Evaluación de riesgos'!$A$5:$A$204,0)),""))</f>
        <v/>
      </c>
      <c r="E132" s="8"/>
      <c r="F132" s="8"/>
      <c r="G132" s="8"/>
      <c r="H132" s="8"/>
      <c r="I132" s="14"/>
      <c r="J132" s="14"/>
      <c r="K132" s="9"/>
      <c r="L132" s="15"/>
      <c r="M132" s="13" t="str">
        <f aca="true">IF(OR(J132="",K132="Completada",K132="Cancelada"),"",IF(J132&lt;TODAY(),"Sí","No"))</f>
        <v/>
      </c>
      <c r="N132" s="8"/>
    </row>
    <row r="133" customFormat="false" ht="15" hidden="false" customHeight="false" outlineLevel="0" collapsed="false">
      <c r="A133" s="9"/>
      <c r="B133" s="9"/>
      <c r="C133" s="11" t="str">
        <f aca="false">IF(B133="","",IFERROR(INDEX('Evaluación de riesgos'!$H$5:$H$204,MATCH(B133,'Evaluación de riesgos'!$A$5:$A$204,0)),"ID no encontrado"))</f>
        <v/>
      </c>
      <c r="D133" s="13" t="str">
        <f aca="false">IF(B133="","",IFERROR(INDEX('Evaluación de riesgos'!$O$5:$O$204,MATCH(B133,'Evaluación de riesgos'!$A$5:$A$204,0)),""))</f>
        <v/>
      </c>
      <c r="E133" s="8"/>
      <c r="F133" s="8"/>
      <c r="G133" s="8"/>
      <c r="H133" s="8"/>
      <c r="I133" s="14"/>
      <c r="J133" s="14"/>
      <c r="K133" s="9"/>
      <c r="L133" s="15"/>
      <c r="M133" s="13" t="str">
        <f aca="true">IF(OR(J133="",K133="Completada",K133="Cancelada"),"",IF(J133&lt;TODAY(),"Sí","No"))</f>
        <v/>
      </c>
      <c r="N133" s="8"/>
    </row>
    <row r="134" customFormat="false" ht="15" hidden="false" customHeight="false" outlineLevel="0" collapsed="false">
      <c r="A134" s="9"/>
      <c r="B134" s="9"/>
      <c r="C134" s="11" t="str">
        <f aca="false">IF(B134="","",IFERROR(INDEX('Evaluación de riesgos'!$H$5:$H$204,MATCH(B134,'Evaluación de riesgos'!$A$5:$A$204,0)),"ID no encontrado"))</f>
        <v/>
      </c>
      <c r="D134" s="13" t="str">
        <f aca="false">IF(B134="","",IFERROR(INDEX('Evaluación de riesgos'!$O$5:$O$204,MATCH(B134,'Evaluación de riesgos'!$A$5:$A$204,0)),""))</f>
        <v/>
      </c>
      <c r="E134" s="8"/>
      <c r="F134" s="8"/>
      <c r="G134" s="8"/>
      <c r="H134" s="8"/>
      <c r="I134" s="14"/>
      <c r="J134" s="14"/>
      <c r="K134" s="9"/>
      <c r="L134" s="15"/>
      <c r="M134" s="13" t="str">
        <f aca="true">IF(OR(J134="",K134="Completada",K134="Cancelada"),"",IF(J134&lt;TODAY(),"Sí","No"))</f>
        <v/>
      </c>
      <c r="N134" s="8"/>
    </row>
    <row r="135" customFormat="false" ht="15" hidden="false" customHeight="false" outlineLevel="0" collapsed="false">
      <c r="A135" s="9"/>
      <c r="B135" s="9"/>
      <c r="C135" s="11" t="str">
        <f aca="false">IF(B135="","",IFERROR(INDEX('Evaluación de riesgos'!$H$5:$H$204,MATCH(B135,'Evaluación de riesgos'!$A$5:$A$204,0)),"ID no encontrado"))</f>
        <v/>
      </c>
      <c r="D135" s="13" t="str">
        <f aca="false">IF(B135="","",IFERROR(INDEX('Evaluación de riesgos'!$O$5:$O$204,MATCH(B135,'Evaluación de riesgos'!$A$5:$A$204,0)),""))</f>
        <v/>
      </c>
      <c r="E135" s="8"/>
      <c r="F135" s="8"/>
      <c r="G135" s="8"/>
      <c r="H135" s="8"/>
      <c r="I135" s="14"/>
      <c r="J135" s="14"/>
      <c r="K135" s="9"/>
      <c r="L135" s="15"/>
      <c r="M135" s="13" t="str">
        <f aca="true">IF(OR(J135="",K135="Completada",K135="Cancelada"),"",IF(J135&lt;TODAY(),"Sí","No"))</f>
        <v/>
      </c>
      <c r="N135" s="8"/>
    </row>
    <row r="136" customFormat="false" ht="15" hidden="false" customHeight="false" outlineLevel="0" collapsed="false">
      <c r="A136" s="9"/>
      <c r="B136" s="9"/>
      <c r="C136" s="11" t="str">
        <f aca="false">IF(B136="","",IFERROR(INDEX('Evaluación de riesgos'!$H$5:$H$204,MATCH(B136,'Evaluación de riesgos'!$A$5:$A$204,0)),"ID no encontrado"))</f>
        <v/>
      </c>
      <c r="D136" s="13" t="str">
        <f aca="false">IF(B136="","",IFERROR(INDEX('Evaluación de riesgos'!$O$5:$O$204,MATCH(B136,'Evaluación de riesgos'!$A$5:$A$204,0)),""))</f>
        <v/>
      </c>
      <c r="E136" s="8"/>
      <c r="F136" s="8"/>
      <c r="G136" s="8"/>
      <c r="H136" s="8"/>
      <c r="I136" s="14"/>
      <c r="J136" s="14"/>
      <c r="K136" s="9"/>
      <c r="L136" s="15"/>
      <c r="M136" s="13" t="str">
        <f aca="true">IF(OR(J136="",K136="Completada",K136="Cancelada"),"",IF(J136&lt;TODAY(),"Sí","No"))</f>
        <v/>
      </c>
      <c r="N136" s="8"/>
    </row>
    <row r="137" customFormat="false" ht="15" hidden="false" customHeight="false" outlineLevel="0" collapsed="false">
      <c r="A137" s="9"/>
      <c r="B137" s="9"/>
      <c r="C137" s="11" t="str">
        <f aca="false">IF(B137="","",IFERROR(INDEX('Evaluación de riesgos'!$H$5:$H$204,MATCH(B137,'Evaluación de riesgos'!$A$5:$A$204,0)),"ID no encontrado"))</f>
        <v/>
      </c>
      <c r="D137" s="13" t="str">
        <f aca="false">IF(B137="","",IFERROR(INDEX('Evaluación de riesgos'!$O$5:$O$204,MATCH(B137,'Evaluación de riesgos'!$A$5:$A$204,0)),""))</f>
        <v/>
      </c>
      <c r="E137" s="8"/>
      <c r="F137" s="8"/>
      <c r="G137" s="8"/>
      <c r="H137" s="8"/>
      <c r="I137" s="14"/>
      <c r="J137" s="14"/>
      <c r="K137" s="9"/>
      <c r="L137" s="15"/>
      <c r="M137" s="13" t="str">
        <f aca="true">IF(OR(J137="",K137="Completada",K137="Cancelada"),"",IF(J137&lt;TODAY(),"Sí","No"))</f>
        <v/>
      </c>
      <c r="N137" s="8"/>
    </row>
    <row r="138" customFormat="false" ht="15" hidden="false" customHeight="false" outlineLevel="0" collapsed="false">
      <c r="A138" s="9"/>
      <c r="B138" s="9"/>
      <c r="C138" s="11" t="str">
        <f aca="false">IF(B138="","",IFERROR(INDEX('Evaluación de riesgos'!$H$5:$H$204,MATCH(B138,'Evaluación de riesgos'!$A$5:$A$204,0)),"ID no encontrado"))</f>
        <v/>
      </c>
      <c r="D138" s="13" t="str">
        <f aca="false">IF(B138="","",IFERROR(INDEX('Evaluación de riesgos'!$O$5:$O$204,MATCH(B138,'Evaluación de riesgos'!$A$5:$A$204,0)),""))</f>
        <v/>
      </c>
      <c r="E138" s="8"/>
      <c r="F138" s="8"/>
      <c r="G138" s="8"/>
      <c r="H138" s="8"/>
      <c r="I138" s="14"/>
      <c r="J138" s="14"/>
      <c r="K138" s="9"/>
      <c r="L138" s="15"/>
      <c r="M138" s="13" t="str">
        <f aca="true">IF(OR(J138="",K138="Completada",K138="Cancelada"),"",IF(J138&lt;TODAY(),"Sí","No"))</f>
        <v/>
      </c>
      <c r="N138" s="8"/>
    </row>
    <row r="139" customFormat="false" ht="15" hidden="false" customHeight="false" outlineLevel="0" collapsed="false">
      <c r="A139" s="9"/>
      <c r="B139" s="9"/>
      <c r="C139" s="11" t="str">
        <f aca="false">IF(B139="","",IFERROR(INDEX('Evaluación de riesgos'!$H$5:$H$204,MATCH(B139,'Evaluación de riesgos'!$A$5:$A$204,0)),"ID no encontrado"))</f>
        <v/>
      </c>
      <c r="D139" s="13" t="str">
        <f aca="false">IF(B139="","",IFERROR(INDEX('Evaluación de riesgos'!$O$5:$O$204,MATCH(B139,'Evaluación de riesgos'!$A$5:$A$204,0)),""))</f>
        <v/>
      </c>
      <c r="E139" s="8"/>
      <c r="F139" s="8"/>
      <c r="G139" s="8"/>
      <c r="H139" s="8"/>
      <c r="I139" s="14"/>
      <c r="J139" s="14"/>
      <c r="K139" s="9"/>
      <c r="L139" s="15"/>
      <c r="M139" s="13" t="str">
        <f aca="true">IF(OR(J139="",K139="Completada",K139="Cancelada"),"",IF(J139&lt;TODAY(),"Sí","No"))</f>
        <v/>
      </c>
      <c r="N139" s="8"/>
    </row>
    <row r="140" customFormat="false" ht="15" hidden="false" customHeight="false" outlineLevel="0" collapsed="false">
      <c r="A140" s="9"/>
      <c r="B140" s="9"/>
      <c r="C140" s="11" t="str">
        <f aca="false">IF(B140="","",IFERROR(INDEX('Evaluación de riesgos'!$H$5:$H$204,MATCH(B140,'Evaluación de riesgos'!$A$5:$A$204,0)),"ID no encontrado"))</f>
        <v/>
      </c>
      <c r="D140" s="13" t="str">
        <f aca="false">IF(B140="","",IFERROR(INDEX('Evaluación de riesgos'!$O$5:$O$204,MATCH(B140,'Evaluación de riesgos'!$A$5:$A$204,0)),""))</f>
        <v/>
      </c>
      <c r="E140" s="8"/>
      <c r="F140" s="8"/>
      <c r="G140" s="8"/>
      <c r="H140" s="8"/>
      <c r="I140" s="14"/>
      <c r="J140" s="14"/>
      <c r="K140" s="9"/>
      <c r="L140" s="15"/>
      <c r="M140" s="13" t="str">
        <f aca="true">IF(OR(J140="",K140="Completada",K140="Cancelada"),"",IF(J140&lt;TODAY(),"Sí","No"))</f>
        <v/>
      </c>
      <c r="N140" s="8"/>
    </row>
    <row r="141" customFormat="false" ht="15" hidden="false" customHeight="false" outlineLevel="0" collapsed="false">
      <c r="A141" s="9"/>
      <c r="B141" s="9"/>
      <c r="C141" s="11" t="str">
        <f aca="false">IF(B141="","",IFERROR(INDEX('Evaluación de riesgos'!$H$5:$H$204,MATCH(B141,'Evaluación de riesgos'!$A$5:$A$204,0)),"ID no encontrado"))</f>
        <v/>
      </c>
      <c r="D141" s="13" t="str">
        <f aca="false">IF(B141="","",IFERROR(INDEX('Evaluación de riesgos'!$O$5:$O$204,MATCH(B141,'Evaluación de riesgos'!$A$5:$A$204,0)),""))</f>
        <v/>
      </c>
      <c r="E141" s="8"/>
      <c r="F141" s="8"/>
      <c r="G141" s="8"/>
      <c r="H141" s="8"/>
      <c r="I141" s="14"/>
      <c r="J141" s="14"/>
      <c r="K141" s="9"/>
      <c r="L141" s="15"/>
      <c r="M141" s="13" t="str">
        <f aca="true">IF(OR(J141="",K141="Completada",K141="Cancelada"),"",IF(J141&lt;TODAY(),"Sí","No"))</f>
        <v/>
      </c>
      <c r="N141" s="8"/>
    </row>
    <row r="142" customFormat="false" ht="15" hidden="false" customHeight="false" outlineLevel="0" collapsed="false">
      <c r="A142" s="9"/>
      <c r="B142" s="9"/>
      <c r="C142" s="11" t="str">
        <f aca="false">IF(B142="","",IFERROR(INDEX('Evaluación de riesgos'!$H$5:$H$204,MATCH(B142,'Evaluación de riesgos'!$A$5:$A$204,0)),"ID no encontrado"))</f>
        <v/>
      </c>
      <c r="D142" s="13" t="str">
        <f aca="false">IF(B142="","",IFERROR(INDEX('Evaluación de riesgos'!$O$5:$O$204,MATCH(B142,'Evaluación de riesgos'!$A$5:$A$204,0)),""))</f>
        <v/>
      </c>
      <c r="E142" s="8"/>
      <c r="F142" s="8"/>
      <c r="G142" s="8"/>
      <c r="H142" s="8"/>
      <c r="I142" s="14"/>
      <c r="J142" s="14"/>
      <c r="K142" s="9"/>
      <c r="L142" s="15"/>
      <c r="M142" s="13" t="str">
        <f aca="true">IF(OR(J142="",K142="Completada",K142="Cancelada"),"",IF(J142&lt;TODAY(),"Sí","No"))</f>
        <v/>
      </c>
      <c r="N142" s="8"/>
    </row>
    <row r="143" customFormat="false" ht="15" hidden="false" customHeight="false" outlineLevel="0" collapsed="false">
      <c r="A143" s="9"/>
      <c r="B143" s="9"/>
      <c r="C143" s="11" t="str">
        <f aca="false">IF(B143="","",IFERROR(INDEX('Evaluación de riesgos'!$H$5:$H$204,MATCH(B143,'Evaluación de riesgos'!$A$5:$A$204,0)),"ID no encontrado"))</f>
        <v/>
      </c>
      <c r="D143" s="13" t="str">
        <f aca="false">IF(B143="","",IFERROR(INDEX('Evaluación de riesgos'!$O$5:$O$204,MATCH(B143,'Evaluación de riesgos'!$A$5:$A$204,0)),""))</f>
        <v/>
      </c>
      <c r="E143" s="8"/>
      <c r="F143" s="8"/>
      <c r="G143" s="8"/>
      <c r="H143" s="8"/>
      <c r="I143" s="14"/>
      <c r="J143" s="14"/>
      <c r="K143" s="9"/>
      <c r="L143" s="15"/>
      <c r="M143" s="13" t="str">
        <f aca="true">IF(OR(J143="",K143="Completada",K143="Cancelada"),"",IF(J143&lt;TODAY(),"Sí","No"))</f>
        <v/>
      </c>
      <c r="N143" s="8"/>
    </row>
    <row r="144" customFormat="false" ht="15" hidden="false" customHeight="false" outlineLevel="0" collapsed="false">
      <c r="A144" s="9"/>
      <c r="B144" s="9"/>
      <c r="C144" s="11" t="str">
        <f aca="false">IF(B144="","",IFERROR(INDEX('Evaluación de riesgos'!$H$5:$H$204,MATCH(B144,'Evaluación de riesgos'!$A$5:$A$204,0)),"ID no encontrado"))</f>
        <v/>
      </c>
      <c r="D144" s="13" t="str">
        <f aca="false">IF(B144="","",IFERROR(INDEX('Evaluación de riesgos'!$O$5:$O$204,MATCH(B144,'Evaluación de riesgos'!$A$5:$A$204,0)),""))</f>
        <v/>
      </c>
      <c r="E144" s="8"/>
      <c r="F144" s="8"/>
      <c r="G144" s="8"/>
      <c r="H144" s="8"/>
      <c r="I144" s="14"/>
      <c r="J144" s="14"/>
      <c r="K144" s="9"/>
      <c r="L144" s="15"/>
      <c r="M144" s="13" t="str">
        <f aca="true">IF(OR(J144="",K144="Completada",K144="Cancelada"),"",IF(J144&lt;TODAY(),"Sí","No"))</f>
        <v/>
      </c>
      <c r="N144" s="8"/>
    </row>
    <row r="145" customFormat="false" ht="15" hidden="false" customHeight="false" outlineLevel="0" collapsed="false">
      <c r="A145" s="9"/>
      <c r="B145" s="9"/>
      <c r="C145" s="11" t="str">
        <f aca="false">IF(B145="","",IFERROR(INDEX('Evaluación de riesgos'!$H$5:$H$204,MATCH(B145,'Evaluación de riesgos'!$A$5:$A$204,0)),"ID no encontrado"))</f>
        <v/>
      </c>
      <c r="D145" s="13" t="str">
        <f aca="false">IF(B145="","",IFERROR(INDEX('Evaluación de riesgos'!$O$5:$O$204,MATCH(B145,'Evaluación de riesgos'!$A$5:$A$204,0)),""))</f>
        <v/>
      </c>
      <c r="E145" s="8"/>
      <c r="F145" s="8"/>
      <c r="G145" s="8"/>
      <c r="H145" s="8"/>
      <c r="I145" s="14"/>
      <c r="J145" s="14"/>
      <c r="K145" s="9"/>
      <c r="L145" s="15"/>
      <c r="M145" s="13" t="str">
        <f aca="true">IF(OR(J145="",K145="Completada",K145="Cancelada"),"",IF(J145&lt;TODAY(),"Sí","No"))</f>
        <v/>
      </c>
      <c r="N145" s="8"/>
    </row>
    <row r="146" customFormat="false" ht="15" hidden="false" customHeight="false" outlineLevel="0" collapsed="false">
      <c r="A146" s="9"/>
      <c r="B146" s="9"/>
      <c r="C146" s="11" t="str">
        <f aca="false">IF(B146="","",IFERROR(INDEX('Evaluación de riesgos'!$H$5:$H$204,MATCH(B146,'Evaluación de riesgos'!$A$5:$A$204,0)),"ID no encontrado"))</f>
        <v/>
      </c>
      <c r="D146" s="13" t="str">
        <f aca="false">IF(B146="","",IFERROR(INDEX('Evaluación de riesgos'!$O$5:$O$204,MATCH(B146,'Evaluación de riesgos'!$A$5:$A$204,0)),""))</f>
        <v/>
      </c>
      <c r="E146" s="8"/>
      <c r="F146" s="8"/>
      <c r="G146" s="8"/>
      <c r="H146" s="8"/>
      <c r="I146" s="14"/>
      <c r="J146" s="14"/>
      <c r="K146" s="9"/>
      <c r="L146" s="15"/>
      <c r="M146" s="13" t="str">
        <f aca="true">IF(OR(J146="",K146="Completada",K146="Cancelada"),"",IF(J146&lt;TODAY(),"Sí","No"))</f>
        <v/>
      </c>
      <c r="N146" s="8"/>
    </row>
    <row r="147" customFormat="false" ht="15" hidden="false" customHeight="false" outlineLevel="0" collapsed="false">
      <c r="A147" s="9"/>
      <c r="B147" s="9"/>
      <c r="C147" s="11" t="str">
        <f aca="false">IF(B147="","",IFERROR(INDEX('Evaluación de riesgos'!$H$5:$H$204,MATCH(B147,'Evaluación de riesgos'!$A$5:$A$204,0)),"ID no encontrado"))</f>
        <v/>
      </c>
      <c r="D147" s="13" t="str">
        <f aca="false">IF(B147="","",IFERROR(INDEX('Evaluación de riesgos'!$O$5:$O$204,MATCH(B147,'Evaluación de riesgos'!$A$5:$A$204,0)),""))</f>
        <v/>
      </c>
      <c r="E147" s="8"/>
      <c r="F147" s="8"/>
      <c r="G147" s="8"/>
      <c r="H147" s="8"/>
      <c r="I147" s="14"/>
      <c r="J147" s="14"/>
      <c r="K147" s="9"/>
      <c r="L147" s="15"/>
      <c r="M147" s="13" t="str">
        <f aca="true">IF(OR(J147="",K147="Completada",K147="Cancelada"),"",IF(J147&lt;TODAY(),"Sí","No"))</f>
        <v/>
      </c>
      <c r="N147" s="8"/>
    </row>
    <row r="148" customFormat="false" ht="15" hidden="false" customHeight="false" outlineLevel="0" collapsed="false">
      <c r="A148" s="9"/>
      <c r="B148" s="9"/>
      <c r="C148" s="11" t="str">
        <f aca="false">IF(B148="","",IFERROR(INDEX('Evaluación de riesgos'!$H$5:$H$204,MATCH(B148,'Evaluación de riesgos'!$A$5:$A$204,0)),"ID no encontrado"))</f>
        <v/>
      </c>
      <c r="D148" s="13" t="str">
        <f aca="false">IF(B148="","",IFERROR(INDEX('Evaluación de riesgos'!$O$5:$O$204,MATCH(B148,'Evaluación de riesgos'!$A$5:$A$204,0)),""))</f>
        <v/>
      </c>
      <c r="E148" s="8"/>
      <c r="F148" s="8"/>
      <c r="G148" s="8"/>
      <c r="H148" s="8"/>
      <c r="I148" s="14"/>
      <c r="J148" s="14"/>
      <c r="K148" s="9"/>
      <c r="L148" s="15"/>
      <c r="M148" s="13" t="str">
        <f aca="true">IF(OR(J148="",K148="Completada",K148="Cancelada"),"",IF(J148&lt;TODAY(),"Sí","No"))</f>
        <v/>
      </c>
      <c r="N148" s="8"/>
    </row>
    <row r="149" customFormat="false" ht="15" hidden="false" customHeight="false" outlineLevel="0" collapsed="false">
      <c r="A149" s="9"/>
      <c r="B149" s="9"/>
      <c r="C149" s="11" t="str">
        <f aca="false">IF(B149="","",IFERROR(INDEX('Evaluación de riesgos'!$H$5:$H$204,MATCH(B149,'Evaluación de riesgos'!$A$5:$A$204,0)),"ID no encontrado"))</f>
        <v/>
      </c>
      <c r="D149" s="13" t="str">
        <f aca="false">IF(B149="","",IFERROR(INDEX('Evaluación de riesgos'!$O$5:$O$204,MATCH(B149,'Evaluación de riesgos'!$A$5:$A$204,0)),""))</f>
        <v/>
      </c>
      <c r="E149" s="8"/>
      <c r="F149" s="8"/>
      <c r="G149" s="8"/>
      <c r="H149" s="8"/>
      <c r="I149" s="14"/>
      <c r="J149" s="14"/>
      <c r="K149" s="9"/>
      <c r="L149" s="15"/>
      <c r="M149" s="13" t="str">
        <f aca="true">IF(OR(J149="",K149="Completada",K149="Cancelada"),"",IF(J149&lt;TODAY(),"Sí","No"))</f>
        <v/>
      </c>
      <c r="N149" s="8"/>
    </row>
    <row r="150" customFormat="false" ht="15" hidden="false" customHeight="false" outlineLevel="0" collapsed="false">
      <c r="A150" s="9"/>
      <c r="B150" s="9"/>
      <c r="C150" s="11" t="str">
        <f aca="false">IF(B150="","",IFERROR(INDEX('Evaluación de riesgos'!$H$5:$H$204,MATCH(B150,'Evaluación de riesgos'!$A$5:$A$204,0)),"ID no encontrado"))</f>
        <v/>
      </c>
      <c r="D150" s="13" t="str">
        <f aca="false">IF(B150="","",IFERROR(INDEX('Evaluación de riesgos'!$O$5:$O$204,MATCH(B150,'Evaluación de riesgos'!$A$5:$A$204,0)),""))</f>
        <v/>
      </c>
      <c r="E150" s="8"/>
      <c r="F150" s="8"/>
      <c r="G150" s="8"/>
      <c r="H150" s="8"/>
      <c r="I150" s="14"/>
      <c r="J150" s="14"/>
      <c r="K150" s="9"/>
      <c r="L150" s="15"/>
      <c r="M150" s="13" t="str">
        <f aca="true">IF(OR(J150="",K150="Completada",K150="Cancelada"),"",IF(J150&lt;TODAY(),"Sí","No"))</f>
        <v/>
      </c>
      <c r="N150" s="8"/>
    </row>
    <row r="151" customFormat="false" ht="15" hidden="false" customHeight="false" outlineLevel="0" collapsed="false">
      <c r="A151" s="9"/>
      <c r="B151" s="9"/>
      <c r="C151" s="11" t="str">
        <f aca="false">IF(B151="","",IFERROR(INDEX('Evaluación de riesgos'!$H$5:$H$204,MATCH(B151,'Evaluación de riesgos'!$A$5:$A$204,0)),"ID no encontrado"))</f>
        <v/>
      </c>
      <c r="D151" s="13" t="str">
        <f aca="false">IF(B151="","",IFERROR(INDEX('Evaluación de riesgos'!$O$5:$O$204,MATCH(B151,'Evaluación de riesgos'!$A$5:$A$204,0)),""))</f>
        <v/>
      </c>
      <c r="E151" s="8"/>
      <c r="F151" s="8"/>
      <c r="G151" s="8"/>
      <c r="H151" s="8"/>
      <c r="I151" s="14"/>
      <c r="J151" s="14"/>
      <c r="K151" s="9"/>
      <c r="L151" s="15"/>
      <c r="M151" s="13" t="str">
        <f aca="true">IF(OR(J151="",K151="Completada",K151="Cancelada"),"",IF(J151&lt;TODAY(),"Sí","No"))</f>
        <v/>
      </c>
      <c r="N151" s="8"/>
    </row>
    <row r="152" customFormat="false" ht="15" hidden="false" customHeight="false" outlineLevel="0" collapsed="false">
      <c r="A152" s="9"/>
      <c r="B152" s="9"/>
      <c r="C152" s="11" t="str">
        <f aca="false">IF(B152="","",IFERROR(INDEX('Evaluación de riesgos'!$H$5:$H$204,MATCH(B152,'Evaluación de riesgos'!$A$5:$A$204,0)),"ID no encontrado"))</f>
        <v/>
      </c>
      <c r="D152" s="13" t="str">
        <f aca="false">IF(B152="","",IFERROR(INDEX('Evaluación de riesgos'!$O$5:$O$204,MATCH(B152,'Evaluación de riesgos'!$A$5:$A$204,0)),""))</f>
        <v/>
      </c>
      <c r="E152" s="8"/>
      <c r="F152" s="8"/>
      <c r="G152" s="8"/>
      <c r="H152" s="8"/>
      <c r="I152" s="14"/>
      <c r="J152" s="14"/>
      <c r="K152" s="9"/>
      <c r="L152" s="15"/>
      <c r="M152" s="13" t="str">
        <f aca="true">IF(OR(J152="",K152="Completada",K152="Cancelada"),"",IF(J152&lt;TODAY(),"Sí","No"))</f>
        <v/>
      </c>
      <c r="N152" s="8"/>
    </row>
    <row r="153" customFormat="false" ht="15" hidden="false" customHeight="false" outlineLevel="0" collapsed="false">
      <c r="A153" s="9"/>
      <c r="B153" s="9"/>
      <c r="C153" s="11" t="str">
        <f aca="false">IF(B153="","",IFERROR(INDEX('Evaluación de riesgos'!$H$5:$H$204,MATCH(B153,'Evaluación de riesgos'!$A$5:$A$204,0)),"ID no encontrado"))</f>
        <v/>
      </c>
      <c r="D153" s="13" t="str">
        <f aca="false">IF(B153="","",IFERROR(INDEX('Evaluación de riesgos'!$O$5:$O$204,MATCH(B153,'Evaluación de riesgos'!$A$5:$A$204,0)),""))</f>
        <v/>
      </c>
      <c r="E153" s="8"/>
      <c r="F153" s="8"/>
      <c r="G153" s="8"/>
      <c r="H153" s="8"/>
      <c r="I153" s="14"/>
      <c r="J153" s="14"/>
      <c r="K153" s="9"/>
      <c r="L153" s="15"/>
      <c r="M153" s="13" t="str">
        <f aca="true">IF(OR(J153="",K153="Completada",K153="Cancelada"),"",IF(J153&lt;TODAY(),"Sí","No"))</f>
        <v/>
      </c>
      <c r="N153" s="8"/>
    </row>
    <row r="154" customFormat="false" ht="15" hidden="false" customHeight="false" outlineLevel="0" collapsed="false">
      <c r="A154" s="9"/>
      <c r="B154" s="9"/>
      <c r="C154" s="11" t="str">
        <f aca="false">IF(B154="","",IFERROR(INDEX('Evaluación de riesgos'!$H$5:$H$204,MATCH(B154,'Evaluación de riesgos'!$A$5:$A$204,0)),"ID no encontrado"))</f>
        <v/>
      </c>
      <c r="D154" s="13" t="str">
        <f aca="false">IF(B154="","",IFERROR(INDEX('Evaluación de riesgos'!$O$5:$O$204,MATCH(B154,'Evaluación de riesgos'!$A$5:$A$204,0)),""))</f>
        <v/>
      </c>
      <c r="E154" s="8"/>
      <c r="F154" s="8"/>
      <c r="G154" s="8"/>
      <c r="H154" s="8"/>
      <c r="I154" s="14"/>
      <c r="J154" s="14"/>
      <c r="K154" s="9"/>
      <c r="L154" s="15"/>
      <c r="M154" s="13" t="str">
        <f aca="true">IF(OR(J154="",K154="Completada",K154="Cancelada"),"",IF(J154&lt;TODAY(),"Sí","No"))</f>
        <v/>
      </c>
      <c r="N154" s="8"/>
    </row>
    <row r="155" customFormat="false" ht="15" hidden="false" customHeight="false" outlineLevel="0" collapsed="false">
      <c r="A155" s="9"/>
      <c r="B155" s="9"/>
      <c r="C155" s="11" t="str">
        <f aca="false">IF(B155="","",IFERROR(INDEX('Evaluación de riesgos'!$H$5:$H$204,MATCH(B155,'Evaluación de riesgos'!$A$5:$A$204,0)),"ID no encontrado"))</f>
        <v/>
      </c>
      <c r="D155" s="13" t="str">
        <f aca="false">IF(B155="","",IFERROR(INDEX('Evaluación de riesgos'!$O$5:$O$204,MATCH(B155,'Evaluación de riesgos'!$A$5:$A$204,0)),""))</f>
        <v/>
      </c>
      <c r="E155" s="8"/>
      <c r="F155" s="8"/>
      <c r="G155" s="8"/>
      <c r="H155" s="8"/>
      <c r="I155" s="14"/>
      <c r="J155" s="14"/>
      <c r="K155" s="9"/>
      <c r="L155" s="15"/>
      <c r="M155" s="13" t="str">
        <f aca="true">IF(OR(J155="",K155="Completada",K155="Cancelada"),"",IF(J155&lt;TODAY(),"Sí","No"))</f>
        <v/>
      </c>
      <c r="N155" s="8"/>
    </row>
    <row r="156" customFormat="false" ht="15" hidden="false" customHeight="false" outlineLevel="0" collapsed="false">
      <c r="A156" s="9"/>
      <c r="B156" s="9"/>
      <c r="C156" s="11" t="str">
        <f aca="false">IF(B156="","",IFERROR(INDEX('Evaluación de riesgos'!$H$5:$H$204,MATCH(B156,'Evaluación de riesgos'!$A$5:$A$204,0)),"ID no encontrado"))</f>
        <v/>
      </c>
      <c r="D156" s="13" t="str">
        <f aca="false">IF(B156="","",IFERROR(INDEX('Evaluación de riesgos'!$O$5:$O$204,MATCH(B156,'Evaluación de riesgos'!$A$5:$A$204,0)),""))</f>
        <v/>
      </c>
      <c r="E156" s="8"/>
      <c r="F156" s="8"/>
      <c r="G156" s="8"/>
      <c r="H156" s="8"/>
      <c r="I156" s="14"/>
      <c r="J156" s="14"/>
      <c r="K156" s="9"/>
      <c r="L156" s="15"/>
      <c r="M156" s="13" t="str">
        <f aca="true">IF(OR(J156="",K156="Completada",K156="Cancelada"),"",IF(J156&lt;TODAY(),"Sí","No"))</f>
        <v/>
      </c>
      <c r="N156" s="8"/>
    </row>
    <row r="157" customFormat="false" ht="15" hidden="false" customHeight="false" outlineLevel="0" collapsed="false">
      <c r="A157" s="9"/>
      <c r="B157" s="9"/>
      <c r="C157" s="11" t="str">
        <f aca="false">IF(B157="","",IFERROR(INDEX('Evaluación de riesgos'!$H$5:$H$204,MATCH(B157,'Evaluación de riesgos'!$A$5:$A$204,0)),"ID no encontrado"))</f>
        <v/>
      </c>
      <c r="D157" s="13" t="str">
        <f aca="false">IF(B157="","",IFERROR(INDEX('Evaluación de riesgos'!$O$5:$O$204,MATCH(B157,'Evaluación de riesgos'!$A$5:$A$204,0)),""))</f>
        <v/>
      </c>
      <c r="E157" s="8"/>
      <c r="F157" s="8"/>
      <c r="G157" s="8"/>
      <c r="H157" s="8"/>
      <c r="I157" s="14"/>
      <c r="J157" s="14"/>
      <c r="K157" s="9"/>
      <c r="L157" s="15"/>
      <c r="M157" s="13" t="str">
        <f aca="true">IF(OR(J157="",K157="Completada",K157="Cancelada"),"",IF(J157&lt;TODAY(),"Sí","No"))</f>
        <v/>
      </c>
      <c r="N157" s="8"/>
    </row>
    <row r="158" customFormat="false" ht="15" hidden="false" customHeight="false" outlineLevel="0" collapsed="false">
      <c r="A158" s="9"/>
      <c r="B158" s="9"/>
      <c r="C158" s="11" t="str">
        <f aca="false">IF(B158="","",IFERROR(INDEX('Evaluación de riesgos'!$H$5:$H$204,MATCH(B158,'Evaluación de riesgos'!$A$5:$A$204,0)),"ID no encontrado"))</f>
        <v/>
      </c>
      <c r="D158" s="13" t="str">
        <f aca="false">IF(B158="","",IFERROR(INDEX('Evaluación de riesgos'!$O$5:$O$204,MATCH(B158,'Evaluación de riesgos'!$A$5:$A$204,0)),""))</f>
        <v/>
      </c>
      <c r="E158" s="8"/>
      <c r="F158" s="8"/>
      <c r="G158" s="8"/>
      <c r="H158" s="8"/>
      <c r="I158" s="14"/>
      <c r="J158" s="14"/>
      <c r="K158" s="9"/>
      <c r="L158" s="15"/>
      <c r="M158" s="13" t="str">
        <f aca="true">IF(OR(J158="",K158="Completada",K158="Cancelada"),"",IF(J158&lt;TODAY(),"Sí","No"))</f>
        <v/>
      </c>
      <c r="N158" s="8"/>
    </row>
    <row r="159" customFormat="false" ht="15" hidden="false" customHeight="false" outlineLevel="0" collapsed="false">
      <c r="A159" s="9"/>
      <c r="B159" s="9"/>
      <c r="C159" s="11" t="str">
        <f aca="false">IF(B159="","",IFERROR(INDEX('Evaluación de riesgos'!$H$5:$H$204,MATCH(B159,'Evaluación de riesgos'!$A$5:$A$204,0)),"ID no encontrado"))</f>
        <v/>
      </c>
      <c r="D159" s="13" t="str">
        <f aca="false">IF(B159="","",IFERROR(INDEX('Evaluación de riesgos'!$O$5:$O$204,MATCH(B159,'Evaluación de riesgos'!$A$5:$A$204,0)),""))</f>
        <v/>
      </c>
      <c r="E159" s="8"/>
      <c r="F159" s="8"/>
      <c r="G159" s="8"/>
      <c r="H159" s="8"/>
      <c r="I159" s="14"/>
      <c r="J159" s="14"/>
      <c r="K159" s="9"/>
      <c r="L159" s="15"/>
      <c r="M159" s="13" t="str">
        <f aca="true">IF(OR(J159="",K159="Completada",K159="Cancelada"),"",IF(J159&lt;TODAY(),"Sí","No"))</f>
        <v/>
      </c>
      <c r="N159" s="8"/>
    </row>
    <row r="160" customFormat="false" ht="15" hidden="false" customHeight="false" outlineLevel="0" collapsed="false">
      <c r="A160" s="9"/>
      <c r="B160" s="9"/>
      <c r="C160" s="11" t="str">
        <f aca="false">IF(B160="","",IFERROR(INDEX('Evaluación de riesgos'!$H$5:$H$204,MATCH(B160,'Evaluación de riesgos'!$A$5:$A$204,0)),"ID no encontrado"))</f>
        <v/>
      </c>
      <c r="D160" s="13" t="str">
        <f aca="false">IF(B160="","",IFERROR(INDEX('Evaluación de riesgos'!$O$5:$O$204,MATCH(B160,'Evaluación de riesgos'!$A$5:$A$204,0)),""))</f>
        <v/>
      </c>
      <c r="E160" s="8"/>
      <c r="F160" s="8"/>
      <c r="G160" s="8"/>
      <c r="H160" s="8"/>
      <c r="I160" s="14"/>
      <c r="J160" s="14"/>
      <c r="K160" s="9"/>
      <c r="L160" s="15"/>
      <c r="M160" s="13" t="str">
        <f aca="true">IF(OR(J160="",K160="Completada",K160="Cancelada"),"",IF(J160&lt;TODAY(),"Sí","No"))</f>
        <v/>
      </c>
      <c r="N160" s="8"/>
    </row>
    <row r="161" customFormat="false" ht="15" hidden="false" customHeight="false" outlineLevel="0" collapsed="false">
      <c r="A161" s="9"/>
      <c r="B161" s="9"/>
      <c r="C161" s="11" t="str">
        <f aca="false">IF(B161="","",IFERROR(INDEX('Evaluación de riesgos'!$H$5:$H$204,MATCH(B161,'Evaluación de riesgos'!$A$5:$A$204,0)),"ID no encontrado"))</f>
        <v/>
      </c>
      <c r="D161" s="13" t="str">
        <f aca="false">IF(B161="","",IFERROR(INDEX('Evaluación de riesgos'!$O$5:$O$204,MATCH(B161,'Evaluación de riesgos'!$A$5:$A$204,0)),""))</f>
        <v/>
      </c>
      <c r="E161" s="8"/>
      <c r="F161" s="8"/>
      <c r="G161" s="8"/>
      <c r="H161" s="8"/>
      <c r="I161" s="14"/>
      <c r="J161" s="14"/>
      <c r="K161" s="9"/>
      <c r="L161" s="15"/>
      <c r="M161" s="13" t="str">
        <f aca="true">IF(OR(J161="",K161="Completada",K161="Cancelada"),"",IF(J161&lt;TODAY(),"Sí","No"))</f>
        <v/>
      </c>
      <c r="N161" s="8"/>
    </row>
    <row r="162" customFormat="false" ht="15" hidden="false" customHeight="false" outlineLevel="0" collapsed="false">
      <c r="A162" s="9"/>
      <c r="B162" s="9"/>
      <c r="C162" s="11" t="str">
        <f aca="false">IF(B162="","",IFERROR(INDEX('Evaluación de riesgos'!$H$5:$H$204,MATCH(B162,'Evaluación de riesgos'!$A$5:$A$204,0)),"ID no encontrado"))</f>
        <v/>
      </c>
      <c r="D162" s="13" t="str">
        <f aca="false">IF(B162="","",IFERROR(INDEX('Evaluación de riesgos'!$O$5:$O$204,MATCH(B162,'Evaluación de riesgos'!$A$5:$A$204,0)),""))</f>
        <v/>
      </c>
      <c r="E162" s="8"/>
      <c r="F162" s="8"/>
      <c r="G162" s="8"/>
      <c r="H162" s="8"/>
      <c r="I162" s="14"/>
      <c r="J162" s="14"/>
      <c r="K162" s="9"/>
      <c r="L162" s="15"/>
      <c r="M162" s="13" t="str">
        <f aca="true">IF(OR(J162="",K162="Completada",K162="Cancelada"),"",IF(J162&lt;TODAY(),"Sí","No"))</f>
        <v/>
      </c>
      <c r="N162" s="8"/>
    </row>
    <row r="163" customFormat="false" ht="15" hidden="false" customHeight="false" outlineLevel="0" collapsed="false">
      <c r="A163" s="9"/>
      <c r="B163" s="9"/>
      <c r="C163" s="11" t="str">
        <f aca="false">IF(B163="","",IFERROR(INDEX('Evaluación de riesgos'!$H$5:$H$204,MATCH(B163,'Evaluación de riesgos'!$A$5:$A$204,0)),"ID no encontrado"))</f>
        <v/>
      </c>
      <c r="D163" s="13" t="str">
        <f aca="false">IF(B163="","",IFERROR(INDEX('Evaluación de riesgos'!$O$5:$O$204,MATCH(B163,'Evaluación de riesgos'!$A$5:$A$204,0)),""))</f>
        <v/>
      </c>
      <c r="E163" s="8"/>
      <c r="F163" s="8"/>
      <c r="G163" s="8"/>
      <c r="H163" s="8"/>
      <c r="I163" s="14"/>
      <c r="J163" s="14"/>
      <c r="K163" s="9"/>
      <c r="L163" s="15"/>
      <c r="M163" s="13" t="str">
        <f aca="true">IF(OR(J163="",K163="Completada",K163="Cancelada"),"",IF(J163&lt;TODAY(),"Sí","No"))</f>
        <v/>
      </c>
      <c r="N163" s="8"/>
    </row>
    <row r="164" customFormat="false" ht="15" hidden="false" customHeight="false" outlineLevel="0" collapsed="false">
      <c r="A164" s="9"/>
      <c r="B164" s="9"/>
      <c r="C164" s="11" t="str">
        <f aca="false">IF(B164="","",IFERROR(INDEX('Evaluación de riesgos'!$H$5:$H$204,MATCH(B164,'Evaluación de riesgos'!$A$5:$A$204,0)),"ID no encontrado"))</f>
        <v/>
      </c>
      <c r="D164" s="13" t="str">
        <f aca="false">IF(B164="","",IFERROR(INDEX('Evaluación de riesgos'!$O$5:$O$204,MATCH(B164,'Evaluación de riesgos'!$A$5:$A$204,0)),""))</f>
        <v/>
      </c>
      <c r="E164" s="8"/>
      <c r="F164" s="8"/>
      <c r="G164" s="8"/>
      <c r="H164" s="8"/>
      <c r="I164" s="14"/>
      <c r="J164" s="14"/>
      <c r="K164" s="9"/>
      <c r="L164" s="15"/>
      <c r="M164" s="13" t="str">
        <f aca="true">IF(OR(J164="",K164="Completada",K164="Cancelada"),"",IF(J164&lt;TODAY(),"Sí","No"))</f>
        <v/>
      </c>
      <c r="N164" s="8"/>
    </row>
    <row r="165" customFormat="false" ht="15" hidden="false" customHeight="false" outlineLevel="0" collapsed="false">
      <c r="A165" s="9"/>
      <c r="B165" s="9"/>
      <c r="C165" s="11" t="str">
        <f aca="false">IF(B165="","",IFERROR(INDEX('Evaluación de riesgos'!$H$5:$H$204,MATCH(B165,'Evaluación de riesgos'!$A$5:$A$204,0)),"ID no encontrado"))</f>
        <v/>
      </c>
      <c r="D165" s="13" t="str">
        <f aca="false">IF(B165="","",IFERROR(INDEX('Evaluación de riesgos'!$O$5:$O$204,MATCH(B165,'Evaluación de riesgos'!$A$5:$A$204,0)),""))</f>
        <v/>
      </c>
      <c r="E165" s="8"/>
      <c r="F165" s="8"/>
      <c r="G165" s="8"/>
      <c r="H165" s="8"/>
      <c r="I165" s="14"/>
      <c r="J165" s="14"/>
      <c r="K165" s="9"/>
      <c r="L165" s="15"/>
      <c r="M165" s="13" t="str">
        <f aca="true">IF(OR(J165="",K165="Completada",K165="Cancelada"),"",IF(J165&lt;TODAY(),"Sí","No"))</f>
        <v/>
      </c>
      <c r="N165" s="8"/>
    </row>
    <row r="166" customFormat="false" ht="15" hidden="false" customHeight="false" outlineLevel="0" collapsed="false">
      <c r="A166" s="9"/>
      <c r="B166" s="9"/>
      <c r="C166" s="11" t="str">
        <f aca="false">IF(B166="","",IFERROR(INDEX('Evaluación de riesgos'!$H$5:$H$204,MATCH(B166,'Evaluación de riesgos'!$A$5:$A$204,0)),"ID no encontrado"))</f>
        <v/>
      </c>
      <c r="D166" s="13" t="str">
        <f aca="false">IF(B166="","",IFERROR(INDEX('Evaluación de riesgos'!$O$5:$O$204,MATCH(B166,'Evaluación de riesgos'!$A$5:$A$204,0)),""))</f>
        <v/>
      </c>
      <c r="E166" s="8"/>
      <c r="F166" s="8"/>
      <c r="G166" s="8"/>
      <c r="H166" s="8"/>
      <c r="I166" s="14"/>
      <c r="J166" s="14"/>
      <c r="K166" s="9"/>
      <c r="L166" s="15"/>
      <c r="M166" s="13" t="str">
        <f aca="true">IF(OR(J166="",K166="Completada",K166="Cancelada"),"",IF(J166&lt;TODAY(),"Sí","No"))</f>
        <v/>
      </c>
      <c r="N166" s="8"/>
    </row>
    <row r="167" customFormat="false" ht="15" hidden="false" customHeight="false" outlineLevel="0" collapsed="false">
      <c r="A167" s="9"/>
      <c r="B167" s="9"/>
      <c r="C167" s="11" t="str">
        <f aca="false">IF(B167="","",IFERROR(INDEX('Evaluación de riesgos'!$H$5:$H$204,MATCH(B167,'Evaluación de riesgos'!$A$5:$A$204,0)),"ID no encontrado"))</f>
        <v/>
      </c>
      <c r="D167" s="13" t="str">
        <f aca="false">IF(B167="","",IFERROR(INDEX('Evaluación de riesgos'!$O$5:$O$204,MATCH(B167,'Evaluación de riesgos'!$A$5:$A$204,0)),""))</f>
        <v/>
      </c>
      <c r="E167" s="8"/>
      <c r="F167" s="8"/>
      <c r="G167" s="8"/>
      <c r="H167" s="8"/>
      <c r="I167" s="14"/>
      <c r="J167" s="14"/>
      <c r="K167" s="9"/>
      <c r="L167" s="15"/>
      <c r="M167" s="13" t="str">
        <f aca="true">IF(OR(J167="",K167="Completada",K167="Cancelada"),"",IF(J167&lt;TODAY(),"Sí","No"))</f>
        <v/>
      </c>
      <c r="N167" s="8"/>
    </row>
    <row r="168" customFormat="false" ht="15" hidden="false" customHeight="false" outlineLevel="0" collapsed="false">
      <c r="A168" s="9"/>
      <c r="B168" s="9"/>
      <c r="C168" s="11" t="str">
        <f aca="false">IF(B168="","",IFERROR(INDEX('Evaluación de riesgos'!$H$5:$H$204,MATCH(B168,'Evaluación de riesgos'!$A$5:$A$204,0)),"ID no encontrado"))</f>
        <v/>
      </c>
      <c r="D168" s="13" t="str">
        <f aca="false">IF(B168="","",IFERROR(INDEX('Evaluación de riesgos'!$O$5:$O$204,MATCH(B168,'Evaluación de riesgos'!$A$5:$A$204,0)),""))</f>
        <v/>
      </c>
      <c r="E168" s="8"/>
      <c r="F168" s="8"/>
      <c r="G168" s="8"/>
      <c r="H168" s="8"/>
      <c r="I168" s="14"/>
      <c r="J168" s="14"/>
      <c r="K168" s="9"/>
      <c r="L168" s="15"/>
      <c r="M168" s="13" t="str">
        <f aca="true">IF(OR(J168="",K168="Completada",K168="Cancelada"),"",IF(J168&lt;TODAY(),"Sí","No"))</f>
        <v/>
      </c>
      <c r="N168" s="8"/>
    </row>
    <row r="169" customFormat="false" ht="15" hidden="false" customHeight="false" outlineLevel="0" collapsed="false">
      <c r="A169" s="9"/>
      <c r="B169" s="9"/>
      <c r="C169" s="11" t="str">
        <f aca="false">IF(B169="","",IFERROR(INDEX('Evaluación de riesgos'!$H$5:$H$204,MATCH(B169,'Evaluación de riesgos'!$A$5:$A$204,0)),"ID no encontrado"))</f>
        <v/>
      </c>
      <c r="D169" s="13" t="str">
        <f aca="false">IF(B169="","",IFERROR(INDEX('Evaluación de riesgos'!$O$5:$O$204,MATCH(B169,'Evaluación de riesgos'!$A$5:$A$204,0)),""))</f>
        <v/>
      </c>
      <c r="E169" s="8"/>
      <c r="F169" s="8"/>
      <c r="G169" s="8"/>
      <c r="H169" s="8"/>
      <c r="I169" s="14"/>
      <c r="J169" s="14"/>
      <c r="K169" s="9"/>
      <c r="L169" s="15"/>
      <c r="M169" s="13" t="str">
        <f aca="true">IF(OR(J169="",K169="Completada",K169="Cancelada"),"",IF(J169&lt;TODAY(),"Sí","No"))</f>
        <v/>
      </c>
      <c r="N169" s="8"/>
    </row>
    <row r="170" customFormat="false" ht="15" hidden="false" customHeight="false" outlineLevel="0" collapsed="false">
      <c r="A170" s="9"/>
      <c r="B170" s="9"/>
      <c r="C170" s="11" t="str">
        <f aca="false">IF(B170="","",IFERROR(INDEX('Evaluación de riesgos'!$H$5:$H$204,MATCH(B170,'Evaluación de riesgos'!$A$5:$A$204,0)),"ID no encontrado"))</f>
        <v/>
      </c>
      <c r="D170" s="13" t="str">
        <f aca="false">IF(B170="","",IFERROR(INDEX('Evaluación de riesgos'!$O$5:$O$204,MATCH(B170,'Evaluación de riesgos'!$A$5:$A$204,0)),""))</f>
        <v/>
      </c>
      <c r="E170" s="8"/>
      <c r="F170" s="8"/>
      <c r="G170" s="8"/>
      <c r="H170" s="8"/>
      <c r="I170" s="14"/>
      <c r="J170" s="14"/>
      <c r="K170" s="9"/>
      <c r="L170" s="15"/>
      <c r="M170" s="13" t="str">
        <f aca="true">IF(OR(J170="",K170="Completada",K170="Cancelada"),"",IF(J170&lt;TODAY(),"Sí","No"))</f>
        <v/>
      </c>
      <c r="N170" s="8"/>
    </row>
    <row r="171" customFormat="false" ht="15" hidden="false" customHeight="false" outlineLevel="0" collapsed="false">
      <c r="A171" s="9"/>
      <c r="B171" s="9"/>
      <c r="C171" s="11" t="str">
        <f aca="false">IF(B171="","",IFERROR(INDEX('Evaluación de riesgos'!$H$5:$H$204,MATCH(B171,'Evaluación de riesgos'!$A$5:$A$204,0)),"ID no encontrado"))</f>
        <v/>
      </c>
      <c r="D171" s="13" t="str">
        <f aca="false">IF(B171="","",IFERROR(INDEX('Evaluación de riesgos'!$O$5:$O$204,MATCH(B171,'Evaluación de riesgos'!$A$5:$A$204,0)),""))</f>
        <v/>
      </c>
      <c r="E171" s="8"/>
      <c r="F171" s="8"/>
      <c r="G171" s="8"/>
      <c r="H171" s="8"/>
      <c r="I171" s="14"/>
      <c r="J171" s="14"/>
      <c r="K171" s="9"/>
      <c r="L171" s="15"/>
      <c r="M171" s="13" t="str">
        <f aca="true">IF(OR(J171="",K171="Completada",K171="Cancelada"),"",IF(J171&lt;TODAY(),"Sí","No"))</f>
        <v/>
      </c>
      <c r="N171" s="8"/>
    </row>
    <row r="172" customFormat="false" ht="15" hidden="false" customHeight="false" outlineLevel="0" collapsed="false">
      <c r="A172" s="9"/>
      <c r="B172" s="9"/>
      <c r="C172" s="11" t="str">
        <f aca="false">IF(B172="","",IFERROR(INDEX('Evaluación de riesgos'!$H$5:$H$204,MATCH(B172,'Evaluación de riesgos'!$A$5:$A$204,0)),"ID no encontrado"))</f>
        <v/>
      </c>
      <c r="D172" s="13" t="str">
        <f aca="false">IF(B172="","",IFERROR(INDEX('Evaluación de riesgos'!$O$5:$O$204,MATCH(B172,'Evaluación de riesgos'!$A$5:$A$204,0)),""))</f>
        <v/>
      </c>
      <c r="E172" s="8"/>
      <c r="F172" s="8"/>
      <c r="G172" s="8"/>
      <c r="H172" s="8"/>
      <c r="I172" s="14"/>
      <c r="J172" s="14"/>
      <c r="K172" s="9"/>
      <c r="L172" s="15"/>
      <c r="M172" s="13" t="str">
        <f aca="true">IF(OR(J172="",K172="Completada",K172="Cancelada"),"",IF(J172&lt;TODAY(),"Sí","No"))</f>
        <v/>
      </c>
      <c r="N172" s="8"/>
    </row>
    <row r="173" customFormat="false" ht="15" hidden="false" customHeight="false" outlineLevel="0" collapsed="false">
      <c r="A173" s="9"/>
      <c r="B173" s="9"/>
      <c r="C173" s="11" t="str">
        <f aca="false">IF(B173="","",IFERROR(INDEX('Evaluación de riesgos'!$H$5:$H$204,MATCH(B173,'Evaluación de riesgos'!$A$5:$A$204,0)),"ID no encontrado"))</f>
        <v/>
      </c>
      <c r="D173" s="13" t="str">
        <f aca="false">IF(B173="","",IFERROR(INDEX('Evaluación de riesgos'!$O$5:$O$204,MATCH(B173,'Evaluación de riesgos'!$A$5:$A$204,0)),""))</f>
        <v/>
      </c>
      <c r="E173" s="8"/>
      <c r="F173" s="8"/>
      <c r="G173" s="8"/>
      <c r="H173" s="8"/>
      <c r="I173" s="14"/>
      <c r="J173" s="14"/>
      <c r="K173" s="9"/>
      <c r="L173" s="15"/>
      <c r="M173" s="13" t="str">
        <f aca="true">IF(OR(J173="",K173="Completada",K173="Cancelada"),"",IF(J173&lt;TODAY(),"Sí","No"))</f>
        <v/>
      </c>
      <c r="N173" s="8"/>
    </row>
    <row r="174" customFormat="false" ht="15" hidden="false" customHeight="false" outlineLevel="0" collapsed="false">
      <c r="A174" s="9"/>
      <c r="B174" s="9"/>
      <c r="C174" s="11" t="str">
        <f aca="false">IF(B174="","",IFERROR(INDEX('Evaluación de riesgos'!$H$5:$H$204,MATCH(B174,'Evaluación de riesgos'!$A$5:$A$204,0)),"ID no encontrado"))</f>
        <v/>
      </c>
      <c r="D174" s="13" t="str">
        <f aca="false">IF(B174="","",IFERROR(INDEX('Evaluación de riesgos'!$O$5:$O$204,MATCH(B174,'Evaluación de riesgos'!$A$5:$A$204,0)),""))</f>
        <v/>
      </c>
      <c r="E174" s="8"/>
      <c r="F174" s="8"/>
      <c r="G174" s="8"/>
      <c r="H174" s="8"/>
      <c r="I174" s="14"/>
      <c r="J174" s="14"/>
      <c r="K174" s="9"/>
      <c r="L174" s="15"/>
      <c r="M174" s="13" t="str">
        <f aca="true">IF(OR(J174="",K174="Completada",K174="Cancelada"),"",IF(J174&lt;TODAY(),"Sí","No"))</f>
        <v/>
      </c>
      <c r="N174" s="8"/>
    </row>
    <row r="175" customFormat="false" ht="15" hidden="false" customHeight="false" outlineLevel="0" collapsed="false">
      <c r="A175" s="9"/>
      <c r="B175" s="9"/>
      <c r="C175" s="11" t="str">
        <f aca="false">IF(B175="","",IFERROR(INDEX('Evaluación de riesgos'!$H$5:$H$204,MATCH(B175,'Evaluación de riesgos'!$A$5:$A$204,0)),"ID no encontrado"))</f>
        <v/>
      </c>
      <c r="D175" s="13" t="str">
        <f aca="false">IF(B175="","",IFERROR(INDEX('Evaluación de riesgos'!$O$5:$O$204,MATCH(B175,'Evaluación de riesgos'!$A$5:$A$204,0)),""))</f>
        <v/>
      </c>
      <c r="E175" s="8"/>
      <c r="F175" s="8"/>
      <c r="G175" s="8"/>
      <c r="H175" s="8"/>
      <c r="I175" s="14"/>
      <c r="J175" s="14"/>
      <c r="K175" s="9"/>
      <c r="L175" s="15"/>
      <c r="M175" s="13" t="str">
        <f aca="true">IF(OR(J175="",K175="Completada",K175="Cancelada"),"",IF(J175&lt;TODAY(),"Sí","No"))</f>
        <v/>
      </c>
      <c r="N175" s="8"/>
    </row>
    <row r="176" customFormat="false" ht="15" hidden="false" customHeight="false" outlineLevel="0" collapsed="false">
      <c r="A176" s="9"/>
      <c r="B176" s="9"/>
      <c r="C176" s="11" t="str">
        <f aca="false">IF(B176="","",IFERROR(INDEX('Evaluación de riesgos'!$H$5:$H$204,MATCH(B176,'Evaluación de riesgos'!$A$5:$A$204,0)),"ID no encontrado"))</f>
        <v/>
      </c>
      <c r="D176" s="13" t="str">
        <f aca="false">IF(B176="","",IFERROR(INDEX('Evaluación de riesgos'!$O$5:$O$204,MATCH(B176,'Evaluación de riesgos'!$A$5:$A$204,0)),""))</f>
        <v/>
      </c>
      <c r="E176" s="8"/>
      <c r="F176" s="8"/>
      <c r="G176" s="8"/>
      <c r="H176" s="8"/>
      <c r="I176" s="14"/>
      <c r="J176" s="14"/>
      <c r="K176" s="9"/>
      <c r="L176" s="15"/>
      <c r="M176" s="13" t="str">
        <f aca="true">IF(OR(J176="",K176="Completada",K176="Cancelada"),"",IF(J176&lt;TODAY(),"Sí","No"))</f>
        <v/>
      </c>
      <c r="N176" s="8"/>
    </row>
    <row r="177" customFormat="false" ht="15" hidden="false" customHeight="false" outlineLevel="0" collapsed="false">
      <c r="A177" s="9"/>
      <c r="B177" s="9"/>
      <c r="C177" s="11" t="str">
        <f aca="false">IF(B177="","",IFERROR(INDEX('Evaluación de riesgos'!$H$5:$H$204,MATCH(B177,'Evaluación de riesgos'!$A$5:$A$204,0)),"ID no encontrado"))</f>
        <v/>
      </c>
      <c r="D177" s="13" t="str">
        <f aca="false">IF(B177="","",IFERROR(INDEX('Evaluación de riesgos'!$O$5:$O$204,MATCH(B177,'Evaluación de riesgos'!$A$5:$A$204,0)),""))</f>
        <v/>
      </c>
      <c r="E177" s="8"/>
      <c r="F177" s="8"/>
      <c r="G177" s="8"/>
      <c r="H177" s="8"/>
      <c r="I177" s="14"/>
      <c r="J177" s="14"/>
      <c r="K177" s="9"/>
      <c r="L177" s="15"/>
      <c r="M177" s="13" t="str">
        <f aca="true">IF(OR(J177="",K177="Completada",K177="Cancelada"),"",IF(J177&lt;TODAY(),"Sí","No"))</f>
        <v/>
      </c>
      <c r="N177" s="8"/>
    </row>
    <row r="178" customFormat="false" ht="15" hidden="false" customHeight="false" outlineLevel="0" collapsed="false">
      <c r="A178" s="9"/>
      <c r="B178" s="9"/>
      <c r="C178" s="11" t="str">
        <f aca="false">IF(B178="","",IFERROR(INDEX('Evaluación de riesgos'!$H$5:$H$204,MATCH(B178,'Evaluación de riesgos'!$A$5:$A$204,0)),"ID no encontrado"))</f>
        <v/>
      </c>
      <c r="D178" s="13" t="str">
        <f aca="false">IF(B178="","",IFERROR(INDEX('Evaluación de riesgos'!$O$5:$O$204,MATCH(B178,'Evaluación de riesgos'!$A$5:$A$204,0)),""))</f>
        <v/>
      </c>
      <c r="E178" s="8"/>
      <c r="F178" s="8"/>
      <c r="G178" s="8"/>
      <c r="H178" s="8"/>
      <c r="I178" s="14"/>
      <c r="J178" s="14"/>
      <c r="K178" s="9"/>
      <c r="L178" s="15"/>
      <c r="M178" s="13" t="str">
        <f aca="true">IF(OR(J178="",K178="Completada",K178="Cancelada"),"",IF(J178&lt;TODAY(),"Sí","No"))</f>
        <v/>
      </c>
      <c r="N178" s="8"/>
    </row>
    <row r="179" customFormat="false" ht="15" hidden="false" customHeight="false" outlineLevel="0" collapsed="false">
      <c r="A179" s="9"/>
      <c r="B179" s="9"/>
      <c r="C179" s="11" t="str">
        <f aca="false">IF(B179="","",IFERROR(INDEX('Evaluación de riesgos'!$H$5:$H$204,MATCH(B179,'Evaluación de riesgos'!$A$5:$A$204,0)),"ID no encontrado"))</f>
        <v/>
      </c>
      <c r="D179" s="13" t="str">
        <f aca="false">IF(B179="","",IFERROR(INDEX('Evaluación de riesgos'!$O$5:$O$204,MATCH(B179,'Evaluación de riesgos'!$A$5:$A$204,0)),""))</f>
        <v/>
      </c>
      <c r="E179" s="8"/>
      <c r="F179" s="8"/>
      <c r="G179" s="8"/>
      <c r="H179" s="8"/>
      <c r="I179" s="14"/>
      <c r="J179" s="14"/>
      <c r="K179" s="9"/>
      <c r="L179" s="15"/>
      <c r="M179" s="13" t="str">
        <f aca="true">IF(OR(J179="",K179="Completada",K179="Cancelada"),"",IF(J179&lt;TODAY(),"Sí","No"))</f>
        <v/>
      </c>
      <c r="N179" s="8"/>
    </row>
    <row r="180" customFormat="false" ht="15" hidden="false" customHeight="false" outlineLevel="0" collapsed="false">
      <c r="A180" s="9"/>
      <c r="B180" s="9"/>
      <c r="C180" s="11" t="str">
        <f aca="false">IF(B180="","",IFERROR(INDEX('Evaluación de riesgos'!$H$5:$H$204,MATCH(B180,'Evaluación de riesgos'!$A$5:$A$204,0)),"ID no encontrado"))</f>
        <v/>
      </c>
      <c r="D180" s="13" t="str">
        <f aca="false">IF(B180="","",IFERROR(INDEX('Evaluación de riesgos'!$O$5:$O$204,MATCH(B180,'Evaluación de riesgos'!$A$5:$A$204,0)),""))</f>
        <v/>
      </c>
      <c r="E180" s="8"/>
      <c r="F180" s="8"/>
      <c r="G180" s="8"/>
      <c r="H180" s="8"/>
      <c r="I180" s="14"/>
      <c r="J180" s="14"/>
      <c r="K180" s="9"/>
      <c r="L180" s="15"/>
      <c r="M180" s="13" t="str">
        <f aca="true">IF(OR(J180="",K180="Completada",K180="Cancelada"),"",IF(J180&lt;TODAY(),"Sí","No"))</f>
        <v/>
      </c>
      <c r="N180" s="8"/>
    </row>
    <row r="181" customFormat="false" ht="15" hidden="false" customHeight="false" outlineLevel="0" collapsed="false">
      <c r="A181" s="9"/>
      <c r="B181" s="9"/>
      <c r="C181" s="11" t="str">
        <f aca="false">IF(B181="","",IFERROR(INDEX('Evaluación de riesgos'!$H$5:$H$204,MATCH(B181,'Evaluación de riesgos'!$A$5:$A$204,0)),"ID no encontrado"))</f>
        <v/>
      </c>
      <c r="D181" s="13" t="str">
        <f aca="false">IF(B181="","",IFERROR(INDEX('Evaluación de riesgos'!$O$5:$O$204,MATCH(B181,'Evaluación de riesgos'!$A$5:$A$204,0)),""))</f>
        <v/>
      </c>
      <c r="E181" s="8"/>
      <c r="F181" s="8"/>
      <c r="G181" s="8"/>
      <c r="H181" s="8"/>
      <c r="I181" s="14"/>
      <c r="J181" s="14"/>
      <c r="K181" s="9"/>
      <c r="L181" s="15"/>
      <c r="M181" s="13" t="str">
        <f aca="true">IF(OR(J181="",K181="Completada",K181="Cancelada"),"",IF(J181&lt;TODAY(),"Sí","No"))</f>
        <v/>
      </c>
      <c r="N181" s="8"/>
    </row>
    <row r="182" customFormat="false" ht="15" hidden="false" customHeight="false" outlineLevel="0" collapsed="false">
      <c r="A182" s="9"/>
      <c r="B182" s="9"/>
      <c r="C182" s="11" t="str">
        <f aca="false">IF(B182="","",IFERROR(INDEX('Evaluación de riesgos'!$H$5:$H$204,MATCH(B182,'Evaluación de riesgos'!$A$5:$A$204,0)),"ID no encontrado"))</f>
        <v/>
      </c>
      <c r="D182" s="13" t="str">
        <f aca="false">IF(B182="","",IFERROR(INDEX('Evaluación de riesgos'!$O$5:$O$204,MATCH(B182,'Evaluación de riesgos'!$A$5:$A$204,0)),""))</f>
        <v/>
      </c>
      <c r="E182" s="8"/>
      <c r="F182" s="8"/>
      <c r="G182" s="8"/>
      <c r="H182" s="8"/>
      <c r="I182" s="14"/>
      <c r="J182" s="14"/>
      <c r="K182" s="9"/>
      <c r="L182" s="15"/>
      <c r="M182" s="13" t="str">
        <f aca="true">IF(OR(J182="",K182="Completada",K182="Cancelada"),"",IF(J182&lt;TODAY(),"Sí","No"))</f>
        <v/>
      </c>
      <c r="N182" s="8"/>
    </row>
    <row r="183" customFormat="false" ht="15" hidden="false" customHeight="false" outlineLevel="0" collapsed="false">
      <c r="A183" s="9"/>
      <c r="B183" s="9"/>
      <c r="C183" s="11" t="str">
        <f aca="false">IF(B183="","",IFERROR(INDEX('Evaluación de riesgos'!$H$5:$H$204,MATCH(B183,'Evaluación de riesgos'!$A$5:$A$204,0)),"ID no encontrado"))</f>
        <v/>
      </c>
      <c r="D183" s="13" t="str">
        <f aca="false">IF(B183="","",IFERROR(INDEX('Evaluación de riesgos'!$O$5:$O$204,MATCH(B183,'Evaluación de riesgos'!$A$5:$A$204,0)),""))</f>
        <v/>
      </c>
      <c r="E183" s="8"/>
      <c r="F183" s="8"/>
      <c r="G183" s="8"/>
      <c r="H183" s="8"/>
      <c r="I183" s="14"/>
      <c r="J183" s="14"/>
      <c r="K183" s="9"/>
      <c r="L183" s="15"/>
      <c r="M183" s="13" t="str">
        <f aca="true">IF(OR(J183="",K183="Completada",K183="Cancelada"),"",IF(J183&lt;TODAY(),"Sí","No"))</f>
        <v/>
      </c>
      <c r="N183" s="8"/>
    </row>
    <row r="184" customFormat="false" ht="15" hidden="false" customHeight="false" outlineLevel="0" collapsed="false">
      <c r="A184" s="9"/>
      <c r="B184" s="9"/>
      <c r="C184" s="11" t="str">
        <f aca="false">IF(B184="","",IFERROR(INDEX('Evaluación de riesgos'!$H$5:$H$204,MATCH(B184,'Evaluación de riesgos'!$A$5:$A$204,0)),"ID no encontrado"))</f>
        <v/>
      </c>
      <c r="D184" s="13" t="str">
        <f aca="false">IF(B184="","",IFERROR(INDEX('Evaluación de riesgos'!$O$5:$O$204,MATCH(B184,'Evaluación de riesgos'!$A$5:$A$204,0)),""))</f>
        <v/>
      </c>
      <c r="E184" s="8"/>
      <c r="F184" s="8"/>
      <c r="G184" s="8"/>
      <c r="H184" s="8"/>
      <c r="I184" s="14"/>
      <c r="J184" s="14"/>
      <c r="K184" s="9"/>
      <c r="L184" s="15"/>
      <c r="M184" s="13" t="str">
        <f aca="true">IF(OR(J184="",K184="Completada",K184="Cancelada"),"",IF(J184&lt;TODAY(),"Sí","No"))</f>
        <v/>
      </c>
      <c r="N184" s="8"/>
    </row>
    <row r="185" customFormat="false" ht="15" hidden="false" customHeight="false" outlineLevel="0" collapsed="false">
      <c r="A185" s="9"/>
      <c r="B185" s="9"/>
      <c r="C185" s="11" t="str">
        <f aca="false">IF(B185="","",IFERROR(INDEX('Evaluación de riesgos'!$H$5:$H$204,MATCH(B185,'Evaluación de riesgos'!$A$5:$A$204,0)),"ID no encontrado"))</f>
        <v/>
      </c>
      <c r="D185" s="13" t="str">
        <f aca="false">IF(B185="","",IFERROR(INDEX('Evaluación de riesgos'!$O$5:$O$204,MATCH(B185,'Evaluación de riesgos'!$A$5:$A$204,0)),""))</f>
        <v/>
      </c>
      <c r="E185" s="8"/>
      <c r="F185" s="8"/>
      <c r="G185" s="8"/>
      <c r="H185" s="8"/>
      <c r="I185" s="14"/>
      <c r="J185" s="14"/>
      <c r="K185" s="9"/>
      <c r="L185" s="15"/>
      <c r="M185" s="13" t="str">
        <f aca="true">IF(OR(J185="",K185="Completada",K185="Cancelada"),"",IF(J185&lt;TODAY(),"Sí","No"))</f>
        <v/>
      </c>
      <c r="N185" s="8"/>
    </row>
    <row r="186" customFormat="false" ht="15" hidden="false" customHeight="false" outlineLevel="0" collapsed="false">
      <c r="A186" s="9"/>
      <c r="B186" s="9"/>
      <c r="C186" s="11" t="str">
        <f aca="false">IF(B186="","",IFERROR(INDEX('Evaluación de riesgos'!$H$5:$H$204,MATCH(B186,'Evaluación de riesgos'!$A$5:$A$204,0)),"ID no encontrado"))</f>
        <v/>
      </c>
      <c r="D186" s="13" t="str">
        <f aca="false">IF(B186="","",IFERROR(INDEX('Evaluación de riesgos'!$O$5:$O$204,MATCH(B186,'Evaluación de riesgos'!$A$5:$A$204,0)),""))</f>
        <v/>
      </c>
      <c r="E186" s="8"/>
      <c r="F186" s="8"/>
      <c r="G186" s="8"/>
      <c r="H186" s="8"/>
      <c r="I186" s="14"/>
      <c r="J186" s="14"/>
      <c r="K186" s="9"/>
      <c r="L186" s="15"/>
      <c r="M186" s="13" t="str">
        <f aca="true">IF(OR(J186="",K186="Completada",K186="Cancelada"),"",IF(J186&lt;TODAY(),"Sí","No"))</f>
        <v/>
      </c>
      <c r="N186" s="8"/>
    </row>
    <row r="187" customFormat="false" ht="15" hidden="false" customHeight="false" outlineLevel="0" collapsed="false">
      <c r="A187" s="9"/>
      <c r="B187" s="9"/>
      <c r="C187" s="11" t="str">
        <f aca="false">IF(B187="","",IFERROR(INDEX('Evaluación de riesgos'!$H$5:$H$204,MATCH(B187,'Evaluación de riesgos'!$A$5:$A$204,0)),"ID no encontrado"))</f>
        <v/>
      </c>
      <c r="D187" s="13" t="str">
        <f aca="false">IF(B187="","",IFERROR(INDEX('Evaluación de riesgos'!$O$5:$O$204,MATCH(B187,'Evaluación de riesgos'!$A$5:$A$204,0)),""))</f>
        <v/>
      </c>
      <c r="E187" s="8"/>
      <c r="F187" s="8"/>
      <c r="G187" s="8"/>
      <c r="H187" s="8"/>
      <c r="I187" s="14"/>
      <c r="J187" s="14"/>
      <c r="K187" s="9"/>
      <c r="L187" s="15"/>
      <c r="M187" s="13" t="str">
        <f aca="true">IF(OR(J187="",K187="Completada",K187="Cancelada"),"",IF(J187&lt;TODAY(),"Sí","No"))</f>
        <v/>
      </c>
      <c r="N187" s="8"/>
    </row>
    <row r="188" customFormat="false" ht="15" hidden="false" customHeight="false" outlineLevel="0" collapsed="false">
      <c r="A188" s="9"/>
      <c r="B188" s="9"/>
      <c r="C188" s="11" t="str">
        <f aca="false">IF(B188="","",IFERROR(INDEX('Evaluación de riesgos'!$H$5:$H$204,MATCH(B188,'Evaluación de riesgos'!$A$5:$A$204,0)),"ID no encontrado"))</f>
        <v/>
      </c>
      <c r="D188" s="13" t="str">
        <f aca="false">IF(B188="","",IFERROR(INDEX('Evaluación de riesgos'!$O$5:$O$204,MATCH(B188,'Evaluación de riesgos'!$A$5:$A$204,0)),""))</f>
        <v/>
      </c>
      <c r="E188" s="8"/>
      <c r="F188" s="8"/>
      <c r="G188" s="8"/>
      <c r="H188" s="8"/>
      <c r="I188" s="14"/>
      <c r="J188" s="14"/>
      <c r="K188" s="9"/>
      <c r="L188" s="15"/>
      <c r="M188" s="13" t="str">
        <f aca="true">IF(OR(J188="",K188="Completada",K188="Cancelada"),"",IF(J188&lt;TODAY(),"Sí","No"))</f>
        <v/>
      </c>
      <c r="N188" s="8"/>
    </row>
    <row r="189" customFormat="false" ht="15" hidden="false" customHeight="false" outlineLevel="0" collapsed="false">
      <c r="A189" s="9"/>
      <c r="B189" s="9"/>
      <c r="C189" s="11" t="str">
        <f aca="false">IF(B189="","",IFERROR(INDEX('Evaluación de riesgos'!$H$5:$H$204,MATCH(B189,'Evaluación de riesgos'!$A$5:$A$204,0)),"ID no encontrado"))</f>
        <v/>
      </c>
      <c r="D189" s="13" t="str">
        <f aca="false">IF(B189="","",IFERROR(INDEX('Evaluación de riesgos'!$O$5:$O$204,MATCH(B189,'Evaluación de riesgos'!$A$5:$A$204,0)),""))</f>
        <v/>
      </c>
      <c r="E189" s="8"/>
      <c r="F189" s="8"/>
      <c r="G189" s="8"/>
      <c r="H189" s="8"/>
      <c r="I189" s="14"/>
      <c r="J189" s="14"/>
      <c r="K189" s="9"/>
      <c r="L189" s="15"/>
      <c r="M189" s="13" t="str">
        <f aca="true">IF(OR(J189="",K189="Completada",K189="Cancelada"),"",IF(J189&lt;TODAY(),"Sí","No"))</f>
        <v/>
      </c>
      <c r="N189" s="8"/>
    </row>
    <row r="190" customFormat="false" ht="15" hidden="false" customHeight="false" outlineLevel="0" collapsed="false">
      <c r="A190" s="9"/>
      <c r="B190" s="9"/>
      <c r="C190" s="11" t="str">
        <f aca="false">IF(B190="","",IFERROR(INDEX('Evaluación de riesgos'!$H$5:$H$204,MATCH(B190,'Evaluación de riesgos'!$A$5:$A$204,0)),"ID no encontrado"))</f>
        <v/>
      </c>
      <c r="D190" s="13" t="str">
        <f aca="false">IF(B190="","",IFERROR(INDEX('Evaluación de riesgos'!$O$5:$O$204,MATCH(B190,'Evaluación de riesgos'!$A$5:$A$204,0)),""))</f>
        <v/>
      </c>
      <c r="E190" s="8"/>
      <c r="F190" s="8"/>
      <c r="G190" s="8"/>
      <c r="H190" s="8"/>
      <c r="I190" s="14"/>
      <c r="J190" s="14"/>
      <c r="K190" s="9"/>
      <c r="L190" s="15"/>
      <c r="M190" s="13" t="str">
        <f aca="true">IF(OR(J190="",K190="Completada",K190="Cancelada"),"",IF(J190&lt;TODAY(),"Sí","No"))</f>
        <v/>
      </c>
      <c r="N190" s="8"/>
    </row>
    <row r="191" customFormat="false" ht="15" hidden="false" customHeight="false" outlineLevel="0" collapsed="false">
      <c r="A191" s="9"/>
      <c r="B191" s="9"/>
      <c r="C191" s="11" t="str">
        <f aca="false">IF(B191="","",IFERROR(INDEX('Evaluación de riesgos'!$H$5:$H$204,MATCH(B191,'Evaluación de riesgos'!$A$5:$A$204,0)),"ID no encontrado"))</f>
        <v/>
      </c>
      <c r="D191" s="13" t="str">
        <f aca="false">IF(B191="","",IFERROR(INDEX('Evaluación de riesgos'!$O$5:$O$204,MATCH(B191,'Evaluación de riesgos'!$A$5:$A$204,0)),""))</f>
        <v/>
      </c>
      <c r="E191" s="8"/>
      <c r="F191" s="8"/>
      <c r="G191" s="8"/>
      <c r="H191" s="8"/>
      <c r="I191" s="14"/>
      <c r="J191" s="14"/>
      <c r="K191" s="9"/>
      <c r="L191" s="15"/>
      <c r="M191" s="13" t="str">
        <f aca="true">IF(OR(J191="",K191="Completada",K191="Cancelada"),"",IF(J191&lt;TODAY(),"Sí","No"))</f>
        <v/>
      </c>
      <c r="N191" s="8"/>
    </row>
    <row r="192" customFormat="false" ht="15" hidden="false" customHeight="false" outlineLevel="0" collapsed="false">
      <c r="A192" s="9"/>
      <c r="B192" s="9"/>
      <c r="C192" s="11" t="str">
        <f aca="false">IF(B192="","",IFERROR(INDEX('Evaluación de riesgos'!$H$5:$H$204,MATCH(B192,'Evaluación de riesgos'!$A$5:$A$204,0)),"ID no encontrado"))</f>
        <v/>
      </c>
      <c r="D192" s="13" t="str">
        <f aca="false">IF(B192="","",IFERROR(INDEX('Evaluación de riesgos'!$O$5:$O$204,MATCH(B192,'Evaluación de riesgos'!$A$5:$A$204,0)),""))</f>
        <v/>
      </c>
      <c r="E192" s="8"/>
      <c r="F192" s="8"/>
      <c r="G192" s="8"/>
      <c r="H192" s="8"/>
      <c r="I192" s="14"/>
      <c r="J192" s="14"/>
      <c r="K192" s="9"/>
      <c r="L192" s="15"/>
      <c r="M192" s="13" t="str">
        <f aca="true">IF(OR(J192="",K192="Completada",K192="Cancelada"),"",IF(J192&lt;TODAY(),"Sí","No"))</f>
        <v/>
      </c>
      <c r="N192" s="8"/>
    </row>
    <row r="193" customFormat="false" ht="15" hidden="false" customHeight="false" outlineLevel="0" collapsed="false">
      <c r="A193" s="9"/>
      <c r="B193" s="9"/>
      <c r="C193" s="11" t="str">
        <f aca="false">IF(B193="","",IFERROR(INDEX('Evaluación de riesgos'!$H$5:$H$204,MATCH(B193,'Evaluación de riesgos'!$A$5:$A$204,0)),"ID no encontrado"))</f>
        <v/>
      </c>
      <c r="D193" s="13" t="str">
        <f aca="false">IF(B193="","",IFERROR(INDEX('Evaluación de riesgos'!$O$5:$O$204,MATCH(B193,'Evaluación de riesgos'!$A$5:$A$204,0)),""))</f>
        <v/>
      </c>
      <c r="E193" s="8"/>
      <c r="F193" s="8"/>
      <c r="G193" s="8"/>
      <c r="H193" s="8"/>
      <c r="I193" s="14"/>
      <c r="J193" s="14"/>
      <c r="K193" s="9"/>
      <c r="L193" s="15"/>
      <c r="M193" s="13" t="str">
        <f aca="true">IF(OR(J193="",K193="Completada",K193="Cancelada"),"",IF(J193&lt;TODAY(),"Sí","No"))</f>
        <v/>
      </c>
      <c r="N193" s="8"/>
    </row>
    <row r="194" customFormat="false" ht="15" hidden="false" customHeight="false" outlineLevel="0" collapsed="false">
      <c r="A194" s="9"/>
      <c r="B194" s="9"/>
      <c r="C194" s="11" t="str">
        <f aca="false">IF(B194="","",IFERROR(INDEX('Evaluación de riesgos'!$H$5:$H$204,MATCH(B194,'Evaluación de riesgos'!$A$5:$A$204,0)),"ID no encontrado"))</f>
        <v/>
      </c>
      <c r="D194" s="13" t="str">
        <f aca="false">IF(B194="","",IFERROR(INDEX('Evaluación de riesgos'!$O$5:$O$204,MATCH(B194,'Evaluación de riesgos'!$A$5:$A$204,0)),""))</f>
        <v/>
      </c>
      <c r="E194" s="8"/>
      <c r="F194" s="8"/>
      <c r="G194" s="8"/>
      <c r="H194" s="8"/>
      <c r="I194" s="14"/>
      <c r="J194" s="14"/>
      <c r="K194" s="9"/>
      <c r="L194" s="15"/>
      <c r="M194" s="13" t="str">
        <f aca="true">IF(OR(J194="",K194="Completada",K194="Cancelada"),"",IF(J194&lt;TODAY(),"Sí","No"))</f>
        <v/>
      </c>
      <c r="N194" s="8"/>
    </row>
    <row r="195" customFormat="false" ht="15" hidden="false" customHeight="false" outlineLevel="0" collapsed="false">
      <c r="A195" s="9"/>
      <c r="B195" s="9"/>
      <c r="C195" s="11" t="str">
        <f aca="false">IF(B195="","",IFERROR(INDEX('Evaluación de riesgos'!$H$5:$H$204,MATCH(B195,'Evaluación de riesgos'!$A$5:$A$204,0)),"ID no encontrado"))</f>
        <v/>
      </c>
      <c r="D195" s="13" t="str">
        <f aca="false">IF(B195="","",IFERROR(INDEX('Evaluación de riesgos'!$O$5:$O$204,MATCH(B195,'Evaluación de riesgos'!$A$5:$A$204,0)),""))</f>
        <v/>
      </c>
      <c r="E195" s="8"/>
      <c r="F195" s="8"/>
      <c r="G195" s="8"/>
      <c r="H195" s="8"/>
      <c r="I195" s="14"/>
      <c r="J195" s="14"/>
      <c r="K195" s="9"/>
      <c r="L195" s="15"/>
      <c r="M195" s="13" t="str">
        <f aca="true">IF(OR(J195="",K195="Completada",K195="Cancelada"),"",IF(J195&lt;TODAY(),"Sí","No"))</f>
        <v/>
      </c>
      <c r="N195" s="8"/>
    </row>
    <row r="196" customFormat="false" ht="15" hidden="false" customHeight="false" outlineLevel="0" collapsed="false">
      <c r="A196" s="9"/>
      <c r="B196" s="9"/>
      <c r="C196" s="11" t="str">
        <f aca="false">IF(B196="","",IFERROR(INDEX('Evaluación de riesgos'!$H$5:$H$204,MATCH(B196,'Evaluación de riesgos'!$A$5:$A$204,0)),"ID no encontrado"))</f>
        <v/>
      </c>
      <c r="D196" s="13" t="str">
        <f aca="false">IF(B196="","",IFERROR(INDEX('Evaluación de riesgos'!$O$5:$O$204,MATCH(B196,'Evaluación de riesgos'!$A$5:$A$204,0)),""))</f>
        <v/>
      </c>
      <c r="E196" s="8"/>
      <c r="F196" s="8"/>
      <c r="G196" s="8"/>
      <c r="H196" s="8"/>
      <c r="I196" s="14"/>
      <c r="J196" s="14"/>
      <c r="K196" s="9"/>
      <c r="L196" s="15"/>
      <c r="M196" s="13" t="str">
        <f aca="true">IF(OR(J196="",K196="Completada",K196="Cancelada"),"",IF(J196&lt;TODAY(),"Sí","No"))</f>
        <v/>
      </c>
      <c r="N196" s="8"/>
    </row>
    <row r="197" customFormat="false" ht="15" hidden="false" customHeight="false" outlineLevel="0" collapsed="false">
      <c r="A197" s="9"/>
      <c r="B197" s="9"/>
      <c r="C197" s="11" t="str">
        <f aca="false">IF(B197="","",IFERROR(INDEX('Evaluación de riesgos'!$H$5:$H$204,MATCH(B197,'Evaluación de riesgos'!$A$5:$A$204,0)),"ID no encontrado"))</f>
        <v/>
      </c>
      <c r="D197" s="13" t="str">
        <f aca="false">IF(B197="","",IFERROR(INDEX('Evaluación de riesgos'!$O$5:$O$204,MATCH(B197,'Evaluación de riesgos'!$A$5:$A$204,0)),""))</f>
        <v/>
      </c>
      <c r="E197" s="8"/>
      <c r="F197" s="8"/>
      <c r="G197" s="8"/>
      <c r="H197" s="8"/>
      <c r="I197" s="14"/>
      <c r="J197" s="14"/>
      <c r="K197" s="9"/>
      <c r="L197" s="15"/>
      <c r="M197" s="13" t="str">
        <f aca="true">IF(OR(J197="",K197="Completada",K197="Cancelada"),"",IF(J197&lt;TODAY(),"Sí","No"))</f>
        <v/>
      </c>
      <c r="N197" s="8"/>
    </row>
    <row r="198" customFormat="false" ht="15" hidden="false" customHeight="false" outlineLevel="0" collapsed="false">
      <c r="A198" s="9"/>
      <c r="B198" s="9"/>
      <c r="C198" s="11" t="str">
        <f aca="false">IF(B198="","",IFERROR(INDEX('Evaluación de riesgos'!$H$5:$H$204,MATCH(B198,'Evaluación de riesgos'!$A$5:$A$204,0)),"ID no encontrado"))</f>
        <v/>
      </c>
      <c r="D198" s="13" t="str">
        <f aca="false">IF(B198="","",IFERROR(INDEX('Evaluación de riesgos'!$O$5:$O$204,MATCH(B198,'Evaluación de riesgos'!$A$5:$A$204,0)),""))</f>
        <v/>
      </c>
      <c r="E198" s="8"/>
      <c r="F198" s="8"/>
      <c r="G198" s="8"/>
      <c r="H198" s="8"/>
      <c r="I198" s="14"/>
      <c r="J198" s="14"/>
      <c r="K198" s="9"/>
      <c r="L198" s="15"/>
      <c r="M198" s="13" t="str">
        <f aca="true">IF(OR(J198="",K198="Completada",K198="Cancelada"),"",IF(J198&lt;TODAY(),"Sí","No"))</f>
        <v/>
      </c>
      <c r="N198" s="8"/>
    </row>
    <row r="199" customFormat="false" ht="15" hidden="false" customHeight="false" outlineLevel="0" collapsed="false">
      <c r="A199" s="9"/>
      <c r="B199" s="9"/>
      <c r="C199" s="11" t="str">
        <f aca="false">IF(B199="","",IFERROR(INDEX('Evaluación de riesgos'!$H$5:$H$204,MATCH(B199,'Evaluación de riesgos'!$A$5:$A$204,0)),"ID no encontrado"))</f>
        <v/>
      </c>
      <c r="D199" s="13" t="str">
        <f aca="false">IF(B199="","",IFERROR(INDEX('Evaluación de riesgos'!$O$5:$O$204,MATCH(B199,'Evaluación de riesgos'!$A$5:$A$204,0)),""))</f>
        <v/>
      </c>
      <c r="E199" s="8"/>
      <c r="F199" s="8"/>
      <c r="G199" s="8"/>
      <c r="H199" s="8"/>
      <c r="I199" s="14"/>
      <c r="J199" s="14"/>
      <c r="K199" s="9"/>
      <c r="L199" s="15"/>
      <c r="M199" s="13" t="str">
        <f aca="true">IF(OR(J199="",K199="Completada",K199="Cancelada"),"",IF(J199&lt;TODAY(),"Sí","No"))</f>
        <v/>
      </c>
      <c r="N199" s="8"/>
    </row>
    <row r="200" customFormat="false" ht="15" hidden="false" customHeight="false" outlineLevel="0" collapsed="false">
      <c r="A200" s="9"/>
      <c r="B200" s="9"/>
      <c r="C200" s="11" t="str">
        <f aca="false">IF(B200="","",IFERROR(INDEX('Evaluación de riesgos'!$H$5:$H$204,MATCH(B200,'Evaluación de riesgos'!$A$5:$A$204,0)),"ID no encontrado"))</f>
        <v/>
      </c>
      <c r="D200" s="13" t="str">
        <f aca="false">IF(B200="","",IFERROR(INDEX('Evaluación de riesgos'!$O$5:$O$204,MATCH(B200,'Evaluación de riesgos'!$A$5:$A$204,0)),""))</f>
        <v/>
      </c>
      <c r="E200" s="8"/>
      <c r="F200" s="8"/>
      <c r="G200" s="8"/>
      <c r="H200" s="8"/>
      <c r="I200" s="14"/>
      <c r="J200" s="14"/>
      <c r="K200" s="9"/>
      <c r="L200" s="15"/>
      <c r="M200" s="13" t="str">
        <f aca="true">IF(OR(J200="",K200="Completada",K200="Cancelada"),"",IF(J200&lt;TODAY(),"Sí","No"))</f>
        <v/>
      </c>
      <c r="N200" s="8"/>
    </row>
    <row r="201" customFormat="false" ht="15" hidden="false" customHeight="false" outlineLevel="0" collapsed="false">
      <c r="A201" s="9"/>
      <c r="B201" s="9"/>
      <c r="C201" s="11" t="str">
        <f aca="false">IF(B201="","",IFERROR(INDEX('Evaluación de riesgos'!$H$5:$H$204,MATCH(B201,'Evaluación de riesgos'!$A$5:$A$204,0)),"ID no encontrado"))</f>
        <v/>
      </c>
      <c r="D201" s="13" t="str">
        <f aca="false">IF(B201="","",IFERROR(INDEX('Evaluación de riesgos'!$O$5:$O$204,MATCH(B201,'Evaluación de riesgos'!$A$5:$A$204,0)),""))</f>
        <v/>
      </c>
      <c r="E201" s="8"/>
      <c r="F201" s="8"/>
      <c r="G201" s="8"/>
      <c r="H201" s="8"/>
      <c r="I201" s="14"/>
      <c r="J201" s="14"/>
      <c r="K201" s="9"/>
      <c r="L201" s="15"/>
      <c r="M201" s="13" t="str">
        <f aca="true">IF(OR(J201="",K201="Completada",K201="Cancelada"),"",IF(J201&lt;TODAY(),"Sí","No"))</f>
        <v/>
      </c>
      <c r="N201" s="8"/>
    </row>
    <row r="202" customFormat="false" ht="15" hidden="false" customHeight="false" outlineLevel="0" collapsed="false">
      <c r="A202" s="9"/>
      <c r="B202" s="9"/>
      <c r="C202" s="11" t="str">
        <f aca="false">IF(B202="","",IFERROR(INDEX('Evaluación de riesgos'!$H$5:$H$204,MATCH(B202,'Evaluación de riesgos'!$A$5:$A$204,0)),"ID no encontrado"))</f>
        <v/>
      </c>
      <c r="D202" s="13" t="str">
        <f aca="false">IF(B202="","",IFERROR(INDEX('Evaluación de riesgos'!$O$5:$O$204,MATCH(B202,'Evaluación de riesgos'!$A$5:$A$204,0)),""))</f>
        <v/>
      </c>
      <c r="E202" s="8"/>
      <c r="F202" s="8"/>
      <c r="G202" s="8"/>
      <c r="H202" s="8"/>
      <c r="I202" s="14"/>
      <c r="J202" s="14"/>
      <c r="K202" s="9"/>
      <c r="L202" s="15"/>
      <c r="M202" s="13" t="str">
        <f aca="true">IF(OR(J202="",K202="Completada",K202="Cancelada"),"",IF(J202&lt;TODAY(),"Sí","No"))</f>
        <v/>
      </c>
      <c r="N202" s="8"/>
    </row>
    <row r="203" customFormat="false" ht="15" hidden="false" customHeight="false" outlineLevel="0" collapsed="false">
      <c r="A203" s="9"/>
      <c r="B203" s="9"/>
      <c r="C203" s="11" t="str">
        <f aca="false">IF(B203="","",IFERROR(INDEX('Evaluación de riesgos'!$H$5:$H$204,MATCH(B203,'Evaluación de riesgos'!$A$5:$A$204,0)),"ID no encontrado"))</f>
        <v/>
      </c>
      <c r="D203" s="13" t="str">
        <f aca="false">IF(B203="","",IFERROR(INDEX('Evaluación de riesgos'!$O$5:$O$204,MATCH(B203,'Evaluación de riesgos'!$A$5:$A$204,0)),""))</f>
        <v/>
      </c>
      <c r="E203" s="8"/>
      <c r="F203" s="8"/>
      <c r="G203" s="8"/>
      <c r="H203" s="8"/>
      <c r="I203" s="14"/>
      <c r="J203" s="14"/>
      <c r="K203" s="9"/>
      <c r="L203" s="15"/>
      <c r="M203" s="13" t="str">
        <f aca="true">IF(OR(J203="",K203="Completada",K203="Cancelada"),"",IF(J203&lt;TODAY(),"Sí","No"))</f>
        <v/>
      </c>
      <c r="N203" s="8"/>
    </row>
    <row r="204" customFormat="false" ht="15" hidden="false" customHeight="false" outlineLevel="0" collapsed="false">
      <c r="A204" s="9"/>
      <c r="B204" s="9"/>
      <c r="C204" s="11" t="str">
        <f aca="false">IF(B204="","",IFERROR(INDEX('Evaluación de riesgos'!$H$5:$H$204,MATCH(B204,'Evaluación de riesgos'!$A$5:$A$204,0)),"ID no encontrado"))</f>
        <v/>
      </c>
      <c r="D204" s="13" t="str">
        <f aca="false">IF(B204="","",IFERROR(INDEX('Evaluación de riesgos'!$O$5:$O$204,MATCH(B204,'Evaluación de riesgos'!$A$5:$A$204,0)),""))</f>
        <v/>
      </c>
      <c r="E204" s="8"/>
      <c r="F204" s="8"/>
      <c r="G204" s="8"/>
      <c r="H204" s="8"/>
      <c r="I204" s="14"/>
      <c r="J204" s="14"/>
      <c r="K204" s="9"/>
      <c r="L204" s="15"/>
      <c r="M204" s="13" t="str">
        <f aca="true">IF(OR(J204="",K204="Completada",K204="Cancelada"),"",IF(J204&lt;TODAY(),"Sí","No"))</f>
        <v/>
      </c>
      <c r="N204" s="8"/>
    </row>
  </sheetData>
  <autoFilter ref="A4:N204"/>
  <conditionalFormatting sqref="D5:D204">
    <cfRule type="cellIs" priority="2" operator="equal" aboveAverage="0" equalAverage="0" bottom="0" percent="0" rank="0" text="" dxfId="14">
      <formula>"Bajo"</formula>
    </cfRule>
    <cfRule type="cellIs" priority="3" operator="equal" aboveAverage="0" equalAverage="0" bottom="0" percent="0" rank="0" text="" dxfId="15">
      <formula>"Medio"</formula>
    </cfRule>
    <cfRule type="cellIs" priority="4" operator="equal" aboveAverage="0" equalAverage="0" bottom="0" percent="0" rank="0" text="" dxfId="16">
      <formula>"Alto"</formula>
    </cfRule>
    <cfRule type="cellIs" priority="5" operator="equal" aboveAverage="0" equalAverage="0" bottom="0" percent="0" rank="0" text="" dxfId="17">
      <formula>"Crítico"</formula>
    </cfRule>
  </conditionalFormatting>
  <conditionalFormatting sqref="M5:M204">
    <cfRule type="cellIs" priority="6" operator="equal" aboveAverage="0" equalAverage="0" bottom="0" percent="0" rank="0" text="" dxfId="13">
      <formula>"Sí"</formula>
    </cfRule>
  </conditionalFormatting>
  <dataValidations count="4">
    <dataValidation allowBlank="true" errorStyle="stop" operator="between" showDropDown="false" showErrorMessage="false" showInputMessage="false" sqref="B5:B204" type="list">
      <formula1>'Evaluación de riesgos'!$A$5:$A$204</formula1>
      <formula2>0</formula2>
    </dataValidation>
    <dataValidation allowBlank="true" errorStyle="stop" operator="between" showDropDown="false" showErrorMessage="false" showInputMessage="false" sqref="K5:K204" type="list">
      <formula1>"Planificada,En curso,Completada,Retrasada,Cancelada"</formula1>
      <formula2>0</formula2>
    </dataValidation>
    <dataValidation allowBlank="true" errorStyle="stop" operator="between" showDropDown="false" showErrorMessage="false" showInputMessage="false" sqref="L5:L204" type="decimal">
      <formula1>0</formula1>
      <formula2>1</formula2>
    </dataValidation>
    <dataValidation allowBlank="true" errorStyle="stop" operator="greaterThan" showDropDown="false" showErrorMessage="false" showInputMessage="false" sqref="I5:J204" type="date">
      <formula1>36526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14" min="2" style="0" width="11"/>
  </cols>
  <sheetData>
    <row r="1" customFormat="false" ht="17.35" hidden="false" customHeight="false" outlineLevel="0" collapsed="false">
      <c r="A1" s="1" t="s">
        <v>154</v>
      </c>
    </row>
    <row r="2" customFormat="false" ht="15" hidden="false" customHeight="false" outlineLevel="0" collapsed="false">
      <c r="A2" s="2" t="s">
        <v>155</v>
      </c>
    </row>
    <row r="4" customFormat="false" ht="15" hidden="false" customHeight="false" outlineLevel="0" collapsed="false">
      <c r="A4" s="16" t="s">
        <v>156</v>
      </c>
      <c r="H4" s="16" t="s">
        <v>157</v>
      </c>
    </row>
    <row r="5" customFormat="false" ht="15" hidden="false" customHeight="false" outlineLevel="0" collapsed="false">
      <c r="A5" s="17" t="s">
        <v>158</v>
      </c>
      <c r="B5" s="10" t="n">
        <v>1</v>
      </c>
      <c r="C5" s="10" t="n">
        <v>2</v>
      </c>
      <c r="D5" s="10" t="n">
        <v>3</v>
      </c>
      <c r="E5" s="10" t="n">
        <v>4</v>
      </c>
      <c r="F5" s="10" t="n">
        <v>5</v>
      </c>
      <c r="H5" s="17" t="s">
        <v>158</v>
      </c>
      <c r="I5" s="10" t="n">
        <v>1</v>
      </c>
      <c r="J5" s="10" t="n">
        <v>2</v>
      </c>
      <c r="K5" s="10" t="n">
        <v>3</v>
      </c>
      <c r="L5" s="10" t="n">
        <v>4</v>
      </c>
      <c r="M5" s="10" t="n">
        <v>5</v>
      </c>
    </row>
    <row r="6" customFormat="false" ht="30" hidden="false" customHeight="true" outlineLevel="0" collapsed="false">
      <c r="A6" s="10" t="n">
        <v>5</v>
      </c>
      <c r="B6" s="18" t="n">
        <f aca="false">COUNTIFS('Evaluación de riesgos'!$L$5:$L$204,5,'Evaluación de riesgos'!$M$5:$M$204,1)</f>
        <v>0</v>
      </c>
      <c r="C6" s="19" t="n">
        <f aca="false">COUNTIFS('Evaluación de riesgos'!$L$5:$L$204,5,'Evaluación de riesgos'!$M$5:$M$204,2)</f>
        <v>0</v>
      </c>
      <c r="D6" s="20" t="n">
        <f aca="false">COUNTIFS('Evaluación de riesgos'!$L$5:$L$204,5,'Evaluación de riesgos'!$M$5:$M$204,3)</f>
        <v>0</v>
      </c>
      <c r="E6" s="20" t="n">
        <f aca="false">COUNTIFS('Evaluación de riesgos'!$L$5:$L$204,5,'Evaluación de riesgos'!$M$5:$M$204,4)</f>
        <v>0</v>
      </c>
      <c r="F6" s="20" t="n">
        <f aca="false">COUNTIFS('Evaluación de riesgos'!$L$5:$L$204,5,'Evaluación de riesgos'!$M$5:$M$204,5)</f>
        <v>0</v>
      </c>
      <c r="H6" s="10" t="n">
        <v>5</v>
      </c>
      <c r="I6" s="18" t="n">
        <f aca="false">COUNTIFS('Evaluación de riesgos'!$Q$5:$Q$204,5,'Evaluación de riesgos'!$R$5:$R$204,1)</f>
        <v>0</v>
      </c>
      <c r="J6" s="19" t="n">
        <f aca="false">COUNTIFS('Evaluación de riesgos'!$Q$5:$Q$204,5,'Evaluación de riesgos'!$R$5:$R$204,2)</f>
        <v>0</v>
      </c>
      <c r="K6" s="20" t="n">
        <f aca="false">COUNTIFS('Evaluación de riesgos'!$Q$5:$Q$204,5,'Evaluación de riesgos'!$R$5:$R$204,3)</f>
        <v>0</v>
      </c>
      <c r="L6" s="20" t="n">
        <f aca="false">COUNTIFS('Evaluación de riesgos'!$Q$5:$Q$204,5,'Evaluación de riesgos'!$R$5:$R$204,4)</f>
        <v>0</v>
      </c>
      <c r="M6" s="20" t="n">
        <f aca="false">COUNTIFS('Evaluación de riesgos'!$Q$5:$Q$204,5,'Evaluación de riesgos'!$R$5:$R$204,5)</f>
        <v>0</v>
      </c>
    </row>
    <row r="7" customFormat="false" ht="30" hidden="false" customHeight="true" outlineLevel="0" collapsed="false">
      <c r="A7" s="10" t="n">
        <v>4</v>
      </c>
      <c r="B7" s="21" t="n">
        <f aca="false">COUNTIFS('Evaluación de riesgos'!$L$5:$L$204,4,'Evaluación de riesgos'!$M$5:$M$204,1)</f>
        <v>0</v>
      </c>
      <c r="C7" s="18" t="n">
        <f aca="false">COUNTIFS('Evaluación de riesgos'!$L$5:$L$204,4,'Evaluación de riesgos'!$M$5:$M$204,2)</f>
        <v>0</v>
      </c>
      <c r="D7" s="19" t="n">
        <f aca="false">COUNTIFS('Evaluación de riesgos'!$L$5:$L$204,4,'Evaluación de riesgos'!$M$5:$M$204,3)</f>
        <v>0</v>
      </c>
      <c r="E7" s="20" t="n">
        <f aca="false">COUNTIFS('Evaluación de riesgos'!$L$5:$L$204,4,'Evaluación de riesgos'!$M$5:$M$204,4)</f>
        <v>1</v>
      </c>
      <c r="F7" s="20" t="n">
        <f aca="false">COUNTIFS('Evaluación de riesgos'!$L$5:$L$204,4,'Evaluación de riesgos'!$M$5:$M$204,5)</f>
        <v>0</v>
      </c>
      <c r="H7" s="10" t="n">
        <v>4</v>
      </c>
      <c r="I7" s="21" t="n">
        <f aca="false">COUNTIFS('Evaluación de riesgos'!$Q$5:$Q$204,4,'Evaluación de riesgos'!$R$5:$R$204,1)</f>
        <v>0</v>
      </c>
      <c r="J7" s="18" t="n">
        <f aca="false">COUNTIFS('Evaluación de riesgos'!$Q$5:$Q$204,4,'Evaluación de riesgos'!$R$5:$R$204,2)</f>
        <v>0</v>
      </c>
      <c r="K7" s="19" t="n">
        <f aca="false">COUNTIFS('Evaluación de riesgos'!$Q$5:$Q$204,4,'Evaluación de riesgos'!$R$5:$R$204,3)</f>
        <v>0</v>
      </c>
      <c r="L7" s="20" t="n">
        <f aca="false">COUNTIFS('Evaluación de riesgos'!$Q$5:$Q$204,4,'Evaluación de riesgos'!$R$5:$R$204,4)</f>
        <v>0</v>
      </c>
      <c r="M7" s="20" t="n">
        <f aca="false">COUNTIFS('Evaluación de riesgos'!$Q$5:$Q$204,4,'Evaluación de riesgos'!$R$5:$R$204,5)</f>
        <v>0</v>
      </c>
    </row>
    <row r="8" customFormat="false" ht="30" hidden="false" customHeight="true" outlineLevel="0" collapsed="false">
      <c r="A8" s="10" t="n">
        <v>3</v>
      </c>
      <c r="B8" s="21" t="n">
        <f aca="false">COUNTIFS('Evaluación de riesgos'!$L$5:$L$204,3,'Evaluación de riesgos'!$M$5:$M$204,1)</f>
        <v>0</v>
      </c>
      <c r="C8" s="18" t="n">
        <f aca="false">COUNTIFS('Evaluación de riesgos'!$L$5:$L$204,3,'Evaluación de riesgos'!$M$5:$M$204,2)</f>
        <v>0</v>
      </c>
      <c r="D8" s="19" t="n">
        <f aca="false">COUNTIFS('Evaluación de riesgos'!$L$5:$L$204,3,'Evaluación de riesgos'!$M$5:$M$204,3)</f>
        <v>1</v>
      </c>
      <c r="E8" s="19" t="n">
        <f aca="false">COUNTIFS('Evaluación de riesgos'!$L$5:$L$204,3,'Evaluación de riesgos'!$M$5:$M$204,4)</f>
        <v>1</v>
      </c>
      <c r="F8" s="20" t="n">
        <f aca="false">COUNTIFS('Evaluación de riesgos'!$L$5:$L$204,3,'Evaluación de riesgos'!$M$5:$M$204,5)</f>
        <v>1</v>
      </c>
      <c r="H8" s="10" t="n">
        <v>3</v>
      </c>
      <c r="I8" s="21" t="n">
        <f aca="false">COUNTIFS('Evaluación de riesgos'!$Q$5:$Q$204,3,'Evaluación de riesgos'!$R$5:$R$204,1)</f>
        <v>1</v>
      </c>
      <c r="J8" s="18" t="n">
        <f aca="false">COUNTIFS('Evaluación de riesgos'!$Q$5:$Q$204,3,'Evaluación de riesgos'!$R$5:$R$204,2)</f>
        <v>0</v>
      </c>
      <c r="K8" s="19" t="n">
        <f aca="false">COUNTIFS('Evaluación de riesgos'!$Q$5:$Q$204,3,'Evaluación de riesgos'!$R$5:$R$204,3)</f>
        <v>0</v>
      </c>
      <c r="L8" s="19" t="n">
        <f aca="false">COUNTIFS('Evaluación de riesgos'!$Q$5:$Q$204,3,'Evaluación de riesgos'!$R$5:$R$204,4)</f>
        <v>0</v>
      </c>
      <c r="M8" s="20" t="n">
        <f aca="false">COUNTIFS('Evaluación de riesgos'!$Q$5:$Q$204,3,'Evaluación de riesgos'!$R$5:$R$204,5)</f>
        <v>0</v>
      </c>
    </row>
    <row r="9" customFormat="false" ht="30" hidden="false" customHeight="true" outlineLevel="0" collapsed="false">
      <c r="A9" s="10" t="n">
        <v>2</v>
      </c>
      <c r="B9" s="21" t="n">
        <f aca="false">COUNTIFS('Evaluación de riesgos'!$L$5:$L$204,2,'Evaluación de riesgos'!$M$5:$M$204,1)</f>
        <v>0</v>
      </c>
      <c r="C9" s="21" t="n">
        <f aca="false">COUNTIFS('Evaluación de riesgos'!$L$5:$L$204,2,'Evaluación de riesgos'!$M$5:$M$204,2)</f>
        <v>0</v>
      </c>
      <c r="D9" s="18" t="n">
        <f aca="false">COUNTIFS('Evaluación de riesgos'!$L$5:$L$204,2,'Evaluación de riesgos'!$M$5:$M$204,3)</f>
        <v>0</v>
      </c>
      <c r="E9" s="18" t="n">
        <f aca="false">COUNTIFS('Evaluación de riesgos'!$L$5:$L$204,2,'Evaluación de riesgos'!$M$5:$M$204,4)</f>
        <v>1</v>
      </c>
      <c r="F9" s="19" t="n">
        <f aca="false">COUNTIFS('Evaluación de riesgos'!$L$5:$L$204,2,'Evaluación de riesgos'!$M$5:$M$204,5)</f>
        <v>0</v>
      </c>
      <c r="H9" s="10" t="n">
        <v>2</v>
      </c>
      <c r="I9" s="21" t="n">
        <f aca="false">COUNTIFS('Evaluación de riesgos'!$Q$5:$Q$204,2,'Evaluación de riesgos'!$R$5:$R$204,1)</f>
        <v>0</v>
      </c>
      <c r="J9" s="21" t="n">
        <f aca="false">COUNTIFS('Evaluación de riesgos'!$Q$5:$Q$204,2,'Evaluación de riesgos'!$R$5:$R$204,2)</f>
        <v>0</v>
      </c>
      <c r="K9" s="18" t="n">
        <f aca="false">COUNTIFS('Evaluación de riesgos'!$Q$5:$Q$204,2,'Evaluación de riesgos'!$R$5:$R$204,3)</f>
        <v>1</v>
      </c>
      <c r="L9" s="18" t="n">
        <f aca="false">COUNTIFS('Evaluación de riesgos'!$Q$5:$Q$204,2,'Evaluación de riesgos'!$R$5:$R$204,4)</f>
        <v>2</v>
      </c>
      <c r="M9" s="19" t="n">
        <f aca="false">COUNTIFS('Evaluación de riesgos'!$Q$5:$Q$204,2,'Evaluación de riesgos'!$R$5:$R$204,5)</f>
        <v>0</v>
      </c>
    </row>
    <row r="10" customFormat="false" ht="30" hidden="false" customHeight="true" outlineLevel="0" collapsed="false">
      <c r="A10" s="10" t="n">
        <v>1</v>
      </c>
      <c r="B10" s="21" t="n">
        <f aca="false">COUNTIFS('Evaluación de riesgos'!$L$5:$L$204,1,'Evaluación de riesgos'!$M$5:$M$204,1)</f>
        <v>0</v>
      </c>
      <c r="C10" s="21" t="n">
        <f aca="false">COUNTIFS('Evaluación de riesgos'!$L$5:$L$204,1,'Evaluación de riesgos'!$M$5:$M$204,2)</f>
        <v>0</v>
      </c>
      <c r="D10" s="21" t="n">
        <f aca="false">COUNTIFS('Evaluación de riesgos'!$L$5:$L$204,1,'Evaluación de riesgos'!$M$5:$M$204,3)</f>
        <v>0</v>
      </c>
      <c r="E10" s="21" t="n">
        <f aca="false">COUNTIFS('Evaluación de riesgos'!$L$5:$L$204,1,'Evaluación de riesgos'!$M$5:$M$204,4)</f>
        <v>0</v>
      </c>
      <c r="F10" s="18" t="n">
        <f aca="false">COUNTIFS('Evaluación de riesgos'!$L$5:$L$204,1,'Evaluación de riesgos'!$M$5:$M$204,5)</f>
        <v>0</v>
      </c>
      <c r="H10" s="10" t="n">
        <v>1</v>
      </c>
      <c r="I10" s="21" t="n">
        <f aca="false">COUNTIFS('Evaluación de riesgos'!$Q$5:$Q$204,1,'Evaluación de riesgos'!$R$5:$R$204,1)</f>
        <v>0</v>
      </c>
      <c r="J10" s="21" t="n">
        <f aca="false">COUNTIFS('Evaluación de riesgos'!$Q$5:$Q$204,1,'Evaluación de riesgos'!$R$5:$R$204,2)</f>
        <v>0</v>
      </c>
      <c r="K10" s="21" t="n">
        <f aca="false">COUNTIFS('Evaluación de riesgos'!$Q$5:$Q$204,1,'Evaluación de riesgos'!$R$5:$R$204,3)</f>
        <v>1</v>
      </c>
      <c r="L10" s="21" t="n">
        <f aca="false">COUNTIFS('Evaluación de riesgos'!$Q$5:$Q$204,1,'Evaluación de riesgos'!$R$5:$R$204,4)</f>
        <v>0</v>
      </c>
      <c r="M10" s="18" t="n">
        <f aca="false">COUNTIFS('Evaluación de riesgos'!$Q$5:$Q$204,1,'Evaluación de riesgos'!$R$5:$R$204,5)</f>
        <v>0</v>
      </c>
    </row>
    <row r="12" customFormat="false" ht="15" hidden="false" customHeight="false" outlineLevel="0" collapsed="false">
      <c r="A12" s="16" t="s">
        <v>159</v>
      </c>
    </row>
    <row r="13" customFormat="false" ht="42" hidden="false" customHeight="true" outlineLevel="0" collapsed="false">
      <c r="A13" s="7" t="s">
        <v>160</v>
      </c>
      <c r="B13" s="7" t="s">
        <v>161</v>
      </c>
      <c r="C13" s="7" t="s">
        <v>162</v>
      </c>
    </row>
    <row r="14" customFormat="false" ht="15" hidden="false" customHeight="false" outlineLevel="0" collapsed="false">
      <c r="A14" s="22" t="s">
        <v>163</v>
      </c>
      <c r="B14" s="23" t="n">
        <f aca="false">COUNTIF('Evaluación de riesgos'!$O$5:$O$204,A14)</f>
        <v>2</v>
      </c>
      <c r="C14" s="23" t="n">
        <f aca="false">COUNTIF('Evaluación de riesgos'!$T$5:$T$204,A14)</f>
        <v>0</v>
      </c>
    </row>
    <row r="15" customFormat="false" ht="15" hidden="false" customHeight="false" outlineLevel="0" collapsed="false">
      <c r="A15" s="24" t="s">
        <v>164</v>
      </c>
      <c r="B15" s="23" t="n">
        <f aca="false">COUNTIF('Evaluación de riesgos'!$O$5:$O$204,A15)</f>
        <v>2</v>
      </c>
      <c r="C15" s="23" t="n">
        <f aca="false">COUNTIF('Evaluación de riesgos'!$T$5:$T$204,A15)</f>
        <v>0</v>
      </c>
    </row>
    <row r="16" customFormat="false" ht="15" hidden="false" customHeight="false" outlineLevel="0" collapsed="false">
      <c r="A16" s="25" t="s">
        <v>165</v>
      </c>
      <c r="B16" s="23" t="n">
        <f aca="false">COUNTIF('Evaluación de riesgos'!$O$5:$O$204,A16)</f>
        <v>1</v>
      </c>
      <c r="C16" s="23" t="n">
        <f aca="false">COUNTIF('Evaluación de riesgos'!$T$5:$T$204,A16)</f>
        <v>3</v>
      </c>
    </row>
    <row r="17" customFormat="false" ht="15" hidden="false" customHeight="false" outlineLevel="0" collapsed="false">
      <c r="A17" s="26" t="s">
        <v>166</v>
      </c>
      <c r="B17" s="23" t="n">
        <f aca="false">COUNTIF('Evaluación de riesgos'!$O$5:$O$204,A17)</f>
        <v>0</v>
      </c>
      <c r="C17" s="23" t="n">
        <f aca="false">COUNTIF('Evaluación de riesgos'!$T$5:$T$204,A17)</f>
        <v>2</v>
      </c>
    </row>
    <row r="18" customFormat="false" ht="15" hidden="false" customHeight="false" outlineLevel="0" collapsed="false">
      <c r="A18" s="27" t="s">
        <v>167</v>
      </c>
      <c r="B18" s="27" t="n">
        <f aca="false">SUM(B14:B17)</f>
        <v>5</v>
      </c>
      <c r="C18" s="27" t="n">
        <f aca="false">SUM(C14:C17)</f>
        <v>5</v>
      </c>
    </row>
    <row r="20" customFormat="false" ht="15" hidden="false" customHeight="false" outlineLevel="0" collapsed="false">
      <c r="A20" s="28" t="s">
        <v>168</v>
      </c>
      <c r="D20" s="29" t="n">
        <f aca="false">COUNTIF('Evaluación de riesgos'!$U$5:$U$204,"No*")</f>
        <v>0</v>
      </c>
    </row>
    <row r="21" customFormat="false" ht="15" hidden="false" customHeight="false" outlineLevel="0" collapsed="false">
      <c r="A21" s="28" t="s">
        <v>169</v>
      </c>
      <c r="D21" s="29" t="n">
        <f aca="false">COUNTIF('Plan de tratamiento'!$M$5:$M$204,"Sí")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4" min="4" style="0" width="36"/>
    <col collapsed="false" customWidth="true" hidden="false" outlineLevel="0" max="5" min="5" style="0" width="30"/>
    <col collapsed="false" customWidth="true" hidden="false" outlineLevel="0" max="6" min="6" style="0" width="34"/>
  </cols>
  <sheetData>
    <row r="1" customFormat="false" ht="17.35" hidden="false" customHeight="false" outlineLevel="0" collapsed="false">
      <c r="A1" s="1" t="s">
        <v>170</v>
      </c>
    </row>
    <row r="2" customFormat="false" ht="15" hidden="false" customHeight="false" outlineLevel="0" collapsed="false">
      <c r="A2" s="2" t="s">
        <v>171</v>
      </c>
    </row>
    <row r="4" customFormat="false" ht="42" hidden="false" customHeight="true" outlineLevel="0" collapsed="false">
      <c r="A4" s="7" t="s">
        <v>172</v>
      </c>
      <c r="B4" s="7" t="s">
        <v>173</v>
      </c>
      <c r="C4" s="7" t="s">
        <v>174</v>
      </c>
    </row>
    <row r="5" customFormat="false" ht="35.05" hidden="false" customHeight="false" outlineLevel="0" collapsed="false">
      <c r="A5" s="30" t="n">
        <v>1</v>
      </c>
      <c r="B5" s="30" t="s">
        <v>175</v>
      </c>
      <c r="C5" s="30" t="s">
        <v>176</v>
      </c>
    </row>
    <row r="6" customFormat="false" ht="23.85" hidden="false" customHeight="false" outlineLevel="0" collapsed="false">
      <c r="A6" s="30" t="n">
        <v>2</v>
      </c>
      <c r="B6" s="30" t="s">
        <v>177</v>
      </c>
      <c r="C6" s="30" t="s">
        <v>178</v>
      </c>
    </row>
    <row r="7" customFormat="false" ht="35.05" hidden="false" customHeight="false" outlineLevel="0" collapsed="false">
      <c r="A7" s="30" t="n">
        <v>3</v>
      </c>
      <c r="B7" s="30" t="s">
        <v>179</v>
      </c>
      <c r="C7" s="30" t="s">
        <v>180</v>
      </c>
    </row>
    <row r="8" customFormat="false" ht="23.85" hidden="false" customHeight="false" outlineLevel="0" collapsed="false">
      <c r="A8" s="30" t="n">
        <v>4</v>
      </c>
      <c r="B8" s="30" t="s">
        <v>181</v>
      </c>
      <c r="C8" s="30" t="s">
        <v>182</v>
      </c>
    </row>
    <row r="9" customFormat="false" ht="23.85" hidden="false" customHeight="false" outlineLevel="0" collapsed="false">
      <c r="A9" s="30" t="n">
        <v>5</v>
      </c>
      <c r="B9" s="30" t="s">
        <v>183</v>
      </c>
      <c r="C9" s="30" t="s">
        <v>184</v>
      </c>
    </row>
    <row r="11" customFormat="false" ht="15" hidden="false" customHeight="false" outlineLevel="0" collapsed="false">
      <c r="A11" s="31" t="s">
        <v>185</v>
      </c>
    </row>
    <row r="12" customFormat="false" ht="42" hidden="false" customHeight="true" outlineLevel="0" collapsed="false">
      <c r="A12" s="7" t="s">
        <v>172</v>
      </c>
      <c r="B12" s="7" t="s">
        <v>185</v>
      </c>
      <c r="C12" s="7" t="s">
        <v>186</v>
      </c>
      <c r="D12" s="7" t="s">
        <v>187</v>
      </c>
      <c r="E12" s="7" t="s">
        <v>188</v>
      </c>
      <c r="F12" s="7" t="s">
        <v>189</v>
      </c>
    </row>
    <row r="13" customFormat="false" ht="15" hidden="false" customHeight="false" outlineLevel="0" collapsed="false">
      <c r="A13" s="30" t="n">
        <v>1</v>
      </c>
      <c r="B13" s="30" t="s">
        <v>190</v>
      </c>
      <c r="C13" s="30" t="s">
        <v>191</v>
      </c>
      <c r="D13" s="30" t="s">
        <v>192</v>
      </c>
      <c r="E13" s="30" t="s">
        <v>193</v>
      </c>
      <c r="F13" s="30" t="s">
        <v>194</v>
      </c>
    </row>
    <row r="14" customFormat="false" ht="15" hidden="false" customHeight="false" outlineLevel="0" collapsed="false">
      <c r="A14" s="30" t="n">
        <v>2</v>
      </c>
      <c r="B14" s="30" t="s">
        <v>166</v>
      </c>
      <c r="C14" s="30" t="s">
        <v>195</v>
      </c>
      <c r="D14" s="30" t="s">
        <v>196</v>
      </c>
      <c r="E14" s="30" t="s">
        <v>197</v>
      </c>
      <c r="F14" s="30" t="s">
        <v>198</v>
      </c>
    </row>
    <row r="15" customFormat="false" ht="15" hidden="false" customHeight="false" outlineLevel="0" collapsed="false">
      <c r="A15" s="30" t="n">
        <v>3</v>
      </c>
      <c r="B15" s="30" t="s">
        <v>165</v>
      </c>
      <c r="C15" s="30" t="s">
        <v>199</v>
      </c>
      <c r="D15" s="30" t="s">
        <v>200</v>
      </c>
      <c r="E15" s="30" t="s">
        <v>201</v>
      </c>
      <c r="F15" s="30" t="s">
        <v>202</v>
      </c>
    </row>
    <row r="16" customFormat="false" ht="23.85" hidden="false" customHeight="false" outlineLevel="0" collapsed="false">
      <c r="A16" s="30" t="n">
        <v>4</v>
      </c>
      <c r="B16" s="30" t="s">
        <v>164</v>
      </c>
      <c r="C16" s="30" t="s">
        <v>203</v>
      </c>
      <c r="D16" s="30" t="s">
        <v>204</v>
      </c>
      <c r="E16" s="30" t="s">
        <v>205</v>
      </c>
      <c r="F16" s="30" t="s">
        <v>206</v>
      </c>
    </row>
    <row r="17" customFormat="false" ht="23.85" hidden="false" customHeight="false" outlineLevel="0" collapsed="false">
      <c r="A17" s="30" t="n">
        <v>5</v>
      </c>
      <c r="B17" s="30" t="s">
        <v>207</v>
      </c>
      <c r="C17" s="30" t="s">
        <v>208</v>
      </c>
      <c r="D17" s="30" t="s">
        <v>209</v>
      </c>
      <c r="E17" s="30" t="s">
        <v>210</v>
      </c>
      <c r="F17" s="30" t="s">
        <v>211</v>
      </c>
    </row>
    <row r="19" customFormat="false" ht="15" hidden="false" customHeight="false" outlineLevel="0" collapsed="false">
      <c r="A19" s="31" t="s">
        <v>212</v>
      </c>
    </row>
    <row r="20" customFormat="false" ht="42" hidden="false" customHeight="true" outlineLevel="0" collapsed="false">
      <c r="A20" s="7" t="s">
        <v>213</v>
      </c>
      <c r="B20" s="7" t="s">
        <v>160</v>
      </c>
      <c r="C20" s="7" t="s">
        <v>214</v>
      </c>
      <c r="D20" s="7" t="s">
        <v>215</v>
      </c>
    </row>
    <row r="21" customFormat="false" ht="15" hidden="false" customHeight="false" outlineLevel="0" collapsed="false">
      <c r="A21" s="8" t="n">
        <v>1</v>
      </c>
      <c r="B21" s="32" t="s">
        <v>166</v>
      </c>
      <c r="C21" s="30" t="s">
        <v>216</v>
      </c>
      <c r="D21" s="30" t="s">
        <v>77</v>
      </c>
    </row>
    <row r="22" customFormat="false" ht="15" hidden="false" customHeight="false" outlineLevel="0" collapsed="false">
      <c r="A22" s="8" t="n">
        <v>5</v>
      </c>
      <c r="B22" s="33" t="s">
        <v>165</v>
      </c>
      <c r="C22" s="30" t="s">
        <v>217</v>
      </c>
      <c r="D22" s="30" t="s">
        <v>218</v>
      </c>
    </row>
    <row r="23" customFormat="false" ht="15" hidden="false" customHeight="false" outlineLevel="0" collapsed="false">
      <c r="A23" s="8" t="n">
        <v>9</v>
      </c>
      <c r="B23" s="34" t="s">
        <v>164</v>
      </c>
      <c r="C23" s="30" t="s">
        <v>219</v>
      </c>
      <c r="D23" s="30" t="s">
        <v>220</v>
      </c>
    </row>
    <row r="24" customFormat="false" ht="23.85" hidden="false" customHeight="false" outlineLevel="0" collapsed="false">
      <c r="A24" s="8" t="n">
        <v>15</v>
      </c>
      <c r="B24" s="35" t="s">
        <v>163</v>
      </c>
      <c r="C24" s="30" t="s">
        <v>221</v>
      </c>
      <c r="D24" s="30" t="s">
        <v>222</v>
      </c>
    </row>
    <row r="25" customFormat="false" ht="15" hidden="false" customHeight="false" outlineLevel="0" collapsed="false">
      <c r="A25" s="2" t="s">
        <v>223</v>
      </c>
    </row>
    <row r="27" customFormat="false" ht="15" hidden="false" customHeight="false" outlineLevel="0" collapsed="false">
      <c r="A27" s="28" t="s">
        <v>224</v>
      </c>
      <c r="B27" s="28"/>
      <c r="C27" s="28"/>
      <c r="D27" s="36" t="s">
        <v>165</v>
      </c>
    </row>
    <row r="28" customFormat="false" ht="15" hidden="false" customHeight="false" outlineLevel="0" collapsed="false">
      <c r="A28" s="2" t="s">
        <v>225</v>
      </c>
      <c r="D28" s="37" t="n">
        <f aca="false">IF(D27="Bajo",$A$22-1,IF(D27="Medio",$A$23-1,$A$24-1))</f>
        <v>8</v>
      </c>
    </row>
  </sheetData>
  <dataValidations count="1">
    <dataValidation allowBlank="false" errorStyle="stop" operator="between" showDropDown="false" showErrorMessage="false" showInputMessage="false" sqref="D27" type="list">
      <formula1>"Bajo,Medio,Alto"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58"/>
    <col collapsed="false" customWidth="true" hidden="false" outlineLevel="0" max="3" min="3" style="0" width="24"/>
    <col collapsed="false" customWidth="true" hidden="false" outlineLevel="0" max="4" min="4" style="0" width="16"/>
  </cols>
  <sheetData>
    <row r="1" customFormat="false" ht="17.35" hidden="false" customHeight="false" outlineLevel="0" collapsed="false">
      <c r="A1" s="1" t="s">
        <v>226</v>
      </c>
    </row>
    <row r="2" customFormat="false" ht="15" hidden="false" customHeight="false" outlineLevel="0" collapsed="false">
      <c r="A2" s="2" t="s">
        <v>227</v>
      </c>
    </row>
    <row r="4" customFormat="false" ht="42" hidden="false" customHeight="true" outlineLevel="0" collapsed="false">
      <c r="A4" s="7" t="s">
        <v>17</v>
      </c>
      <c r="B4" s="7" t="s">
        <v>72</v>
      </c>
      <c r="C4" s="7" t="s">
        <v>228</v>
      </c>
      <c r="D4" s="7" t="s">
        <v>229</v>
      </c>
    </row>
    <row r="5" customFormat="false" ht="15" hidden="false" customHeight="false" outlineLevel="0" collapsed="false">
      <c r="A5" s="30" t="s">
        <v>91</v>
      </c>
      <c r="B5" s="30" t="s">
        <v>230</v>
      </c>
      <c r="C5" s="30" t="s">
        <v>231</v>
      </c>
      <c r="D5" s="30" t="s">
        <v>94</v>
      </c>
    </row>
    <row r="6" customFormat="false" ht="15" hidden="false" customHeight="false" outlineLevel="0" collapsed="false">
      <c r="A6" s="30" t="s">
        <v>99</v>
      </c>
      <c r="B6" s="30" t="s">
        <v>232</v>
      </c>
      <c r="C6" s="30" t="s">
        <v>233</v>
      </c>
      <c r="D6" s="30" t="s">
        <v>102</v>
      </c>
    </row>
    <row r="7" customFormat="false" ht="15" hidden="false" customHeight="false" outlineLevel="0" collapsed="false">
      <c r="A7" s="30" t="s">
        <v>234</v>
      </c>
      <c r="B7" s="30" t="s">
        <v>235</v>
      </c>
      <c r="C7" s="30" t="s">
        <v>233</v>
      </c>
      <c r="D7" s="30" t="s">
        <v>236</v>
      </c>
    </row>
    <row r="8" customFormat="false" ht="15" hidden="false" customHeight="false" outlineLevel="0" collapsed="false">
      <c r="A8" s="30" t="s">
        <v>237</v>
      </c>
      <c r="B8" s="30" t="s">
        <v>238</v>
      </c>
      <c r="C8" s="30" t="s">
        <v>231</v>
      </c>
      <c r="D8" s="30" t="s">
        <v>94</v>
      </c>
    </row>
    <row r="9" customFormat="false" ht="15" hidden="false" customHeight="false" outlineLevel="0" collapsed="false">
      <c r="A9" s="30" t="s">
        <v>239</v>
      </c>
      <c r="B9" s="30" t="s">
        <v>240</v>
      </c>
      <c r="C9" s="30" t="s">
        <v>231</v>
      </c>
      <c r="D9" s="30" t="s">
        <v>241</v>
      </c>
    </row>
    <row r="10" customFormat="false" ht="15" hidden="false" customHeight="false" outlineLevel="0" collapsed="false">
      <c r="A10" s="30" t="s">
        <v>105</v>
      </c>
      <c r="B10" s="30" t="s">
        <v>242</v>
      </c>
      <c r="C10" s="30" t="s">
        <v>231</v>
      </c>
      <c r="D10" s="30" t="s">
        <v>94</v>
      </c>
    </row>
    <row r="11" customFormat="false" ht="15" hidden="false" customHeight="false" outlineLevel="0" collapsed="false">
      <c r="A11" s="30" t="s">
        <v>243</v>
      </c>
      <c r="B11" s="30" t="s">
        <v>244</v>
      </c>
      <c r="C11" s="30" t="s">
        <v>245</v>
      </c>
      <c r="D11" s="30" t="s">
        <v>108</v>
      </c>
    </row>
    <row r="12" customFormat="false" ht="15" hidden="false" customHeight="false" outlineLevel="0" collapsed="false">
      <c r="A12" s="30" t="s">
        <v>246</v>
      </c>
      <c r="B12" s="30" t="s">
        <v>247</v>
      </c>
      <c r="C12" s="30" t="s">
        <v>245</v>
      </c>
      <c r="D12" s="30" t="s">
        <v>102</v>
      </c>
    </row>
    <row r="13" customFormat="false" ht="15" hidden="false" customHeight="false" outlineLevel="0" collapsed="false">
      <c r="A13" s="30" t="s">
        <v>248</v>
      </c>
      <c r="B13" s="30" t="s">
        <v>249</v>
      </c>
      <c r="C13" s="30" t="s">
        <v>231</v>
      </c>
      <c r="D13" s="30" t="s">
        <v>236</v>
      </c>
    </row>
    <row r="14" customFormat="false" ht="15" hidden="false" customHeight="false" outlineLevel="0" collapsed="false">
      <c r="A14" s="30" t="s">
        <v>250</v>
      </c>
      <c r="B14" s="30" t="s">
        <v>251</v>
      </c>
      <c r="C14" s="30" t="s">
        <v>231</v>
      </c>
      <c r="D14" s="30" t="s">
        <v>119</v>
      </c>
    </row>
    <row r="15" customFormat="false" ht="15" hidden="false" customHeight="false" outlineLevel="0" collapsed="false">
      <c r="A15" s="30" t="s">
        <v>116</v>
      </c>
      <c r="B15" s="30" t="s">
        <v>252</v>
      </c>
      <c r="C15" s="30" t="s">
        <v>253</v>
      </c>
      <c r="D15" s="30" t="s">
        <v>119</v>
      </c>
    </row>
    <row r="16" customFormat="false" ht="15" hidden="false" customHeight="false" outlineLevel="0" collapsed="false">
      <c r="A16" s="30" t="s">
        <v>254</v>
      </c>
      <c r="B16" s="30" t="s">
        <v>255</v>
      </c>
      <c r="C16" s="30" t="s">
        <v>253</v>
      </c>
      <c r="D16" s="30" t="s">
        <v>236</v>
      </c>
    </row>
    <row r="17" customFormat="false" ht="15" hidden="false" customHeight="false" outlineLevel="0" collapsed="false">
      <c r="A17" s="30" t="s">
        <v>111</v>
      </c>
      <c r="B17" s="30" t="s">
        <v>256</v>
      </c>
      <c r="C17" s="30" t="s">
        <v>257</v>
      </c>
      <c r="D17" s="30" t="s">
        <v>258</v>
      </c>
    </row>
    <row r="18" customFormat="false" ht="15" hidden="false" customHeight="false" outlineLevel="0" collapsed="false">
      <c r="A18" s="30" t="s">
        <v>259</v>
      </c>
      <c r="B18" s="30" t="s">
        <v>260</v>
      </c>
      <c r="C18" s="30" t="s">
        <v>261</v>
      </c>
      <c r="D18" s="30" t="s">
        <v>119</v>
      </c>
    </row>
    <row r="19" customFormat="false" ht="15" hidden="false" customHeight="false" outlineLevel="0" collapsed="false">
      <c r="A19" s="30" t="s">
        <v>262</v>
      </c>
      <c r="B19" s="30" t="s">
        <v>263</v>
      </c>
      <c r="C19" s="30" t="s">
        <v>261</v>
      </c>
      <c r="D19" s="30" t="s">
        <v>102</v>
      </c>
    </row>
    <row r="20" customFormat="false" ht="15" hidden="false" customHeight="false" outlineLevel="0" collapsed="false">
      <c r="A20" s="30" t="s">
        <v>264</v>
      </c>
      <c r="B20" s="30" t="s">
        <v>265</v>
      </c>
      <c r="C20" s="30" t="s">
        <v>266</v>
      </c>
      <c r="D20" s="30" t="s">
        <v>119</v>
      </c>
    </row>
    <row r="21" customFormat="false" ht="15" hidden="false" customHeight="false" outlineLevel="0" collapsed="false">
      <c r="A21" s="30" t="s">
        <v>267</v>
      </c>
      <c r="B21" s="30" t="s">
        <v>268</v>
      </c>
      <c r="C21" s="30" t="s">
        <v>266</v>
      </c>
      <c r="D21" s="30" t="s">
        <v>119</v>
      </c>
    </row>
    <row r="22" customFormat="false" ht="15" hidden="false" customHeight="false" outlineLevel="0" collapsed="false">
      <c r="A22" s="30" t="s">
        <v>269</v>
      </c>
      <c r="B22" s="30" t="s">
        <v>270</v>
      </c>
      <c r="C22" s="30" t="s">
        <v>266</v>
      </c>
      <c r="D22" s="30" t="s">
        <v>119</v>
      </c>
    </row>
    <row r="23" customFormat="false" ht="15" hidden="false" customHeight="false" outlineLevel="0" collapsed="false">
      <c r="A23" s="30" t="s">
        <v>271</v>
      </c>
      <c r="B23" s="30" t="s">
        <v>272</v>
      </c>
      <c r="C23" s="30" t="s">
        <v>273</v>
      </c>
      <c r="D23" s="30" t="s">
        <v>119</v>
      </c>
    </row>
    <row r="24" customFormat="false" ht="15" hidden="false" customHeight="false" outlineLevel="0" collapsed="false">
      <c r="A24" s="30" t="s">
        <v>274</v>
      </c>
      <c r="B24" s="30" t="s">
        <v>275</v>
      </c>
      <c r="C24" s="30" t="s">
        <v>273</v>
      </c>
      <c r="D24" s="30" t="s">
        <v>119</v>
      </c>
    </row>
    <row r="25" customFormat="false" ht="15" hidden="false" customHeight="false" outlineLevel="0" collapsed="false">
      <c r="A25" s="30" t="s">
        <v>276</v>
      </c>
      <c r="B25" s="30" t="s">
        <v>277</v>
      </c>
      <c r="C25" s="30" t="s">
        <v>257</v>
      </c>
      <c r="D25" s="30" t="s">
        <v>94</v>
      </c>
    </row>
    <row r="26" customFormat="false" ht="15" hidden="false" customHeight="false" outlineLevel="0" collapsed="false">
      <c r="A26" s="30" t="s">
        <v>278</v>
      </c>
      <c r="B26" s="30" t="s">
        <v>279</v>
      </c>
      <c r="C26" s="30" t="s">
        <v>280</v>
      </c>
      <c r="D26" s="30" t="s">
        <v>119</v>
      </c>
    </row>
    <row r="27" customFormat="false" ht="15" hidden="false" customHeight="false" outlineLevel="0" collapsed="false">
      <c r="A27" s="30" t="s">
        <v>281</v>
      </c>
      <c r="B27" s="30" t="s">
        <v>282</v>
      </c>
      <c r="C27" s="30" t="s">
        <v>231</v>
      </c>
      <c r="D27" s="30" t="s">
        <v>102</v>
      </c>
    </row>
    <row r="28" customFormat="false" ht="15" hidden="false" customHeight="false" outlineLevel="0" collapsed="false">
      <c r="A28" s="30" t="s">
        <v>283</v>
      </c>
      <c r="B28" s="30" t="s">
        <v>284</v>
      </c>
      <c r="C28" s="30" t="s">
        <v>231</v>
      </c>
      <c r="D28" s="30" t="s">
        <v>108</v>
      </c>
    </row>
    <row r="29" customFormat="false" ht="15" hidden="false" customHeight="false" outlineLevel="0" collapsed="false">
      <c r="A29" s="30" t="s">
        <v>285</v>
      </c>
      <c r="B29" s="30" t="s">
        <v>286</v>
      </c>
      <c r="C29" s="30" t="s">
        <v>280</v>
      </c>
      <c r="D29" s="30" t="s">
        <v>108</v>
      </c>
    </row>
    <row r="30" customFormat="false" ht="15" hidden="false" customHeight="false" outlineLevel="0" collapsed="false">
      <c r="A30" s="30" t="s">
        <v>287</v>
      </c>
      <c r="B30" s="30" t="s">
        <v>288</v>
      </c>
      <c r="C30" s="30" t="s">
        <v>245</v>
      </c>
      <c r="D30" s="30" t="s">
        <v>108</v>
      </c>
    </row>
    <row r="31" customFormat="false" ht="15" hidden="false" customHeight="false" outlineLevel="0" collapsed="false">
      <c r="A31" s="30" t="s">
        <v>289</v>
      </c>
      <c r="B31" s="30" t="s">
        <v>290</v>
      </c>
      <c r="C31" s="30" t="s">
        <v>245</v>
      </c>
      <c r="D31" s="30" t="s">
        <v>102</v>
      </c>
    </row>
    <row r="32" customFormat="false" ht="15" hidden="false" customHeight="false" outlineLevel="0" collapsed="false">
      <c r="A32" s="30" t="s">
        <v>291</v>
      </c>
      <c r="B32" s="30" t="s">
        <v>292</v>
      </c>
      <c r="C32" s="30" t="s">
        <v>231</v>
      </c>
      <c r="D32" s="30" t="s">
        <v>108</v>
      </c>
    </row>
    <row r="33" customFormat="false" ht="15" hidden="false" customHeight="false" outlineLevel="0" collapsed="false">
      <c r="A33" s="30" t="s">
        <v>293</v>
      </c>
      <c r="B33" s="30" t="s">
        <v>294</v>
      </c>
      <c r="C33" s="30" t="s">
        <v>245</v>
      </c>
      <c r="D33" s="30" t="s">
        <v>94</v>
      </c>
    </row>
    <row r="34" customFormat="false" ht="15" hidden="false" customHeight="false" outlineLevel="0" collapsed="false">
      <c r="A34" s="30" t="s">
        <v>295</v>
      </c>
      <c r="B34" s="30" t="s">
        <v>296</v>
      </c>
      <c r="C34" s="30" t="s">
        <v>231</v>
      </c>
      <c r="D34" s="30" t="s">
        <v>236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64"/>
  </cols>
  <sheetData>
    <row r="1" customFormat="false" ht="17.35" hidden="false" customHeight="false" outlineLevel="0" collapsed="false">
      <c r="A1" s="1" t="s">
        <v>297</v>
      </c>
    </row>
    <row r="2" customFormat="false" ht="15" hidden="false" customHeight="false" outlineLevel="0" collapsed="false">
      <c r="A2" s="2" t="s">
        <v>298</v>
      </c>
    </row>
    <row r="4" customFormat="false" ht="42" hidden="false" customHeight="true" outlineLevel="0" collapsed="false">
      <c r="A4" s="7" t="s">
        <v>17</v>
      </c>
      <c r="B4" s="7" t="s">
        <v>74</v>
      </c>
    </row>
    <row r="5" customFormat="false" ht="15" hidden="false" customHeight="false" outlineLevel="0" collapsed="false">
      <c r="A5" s="30" t="s">
        <v>299</v>
      </c>
      <c r="B5" s="30" t="s">
        <v>300</v>
      </c>
    </row>
    <row r="6" customFormat="false" ht="15" hidden="false" customHeight="false" outlineLevel="0" collapsed="false">
      <c r="A6" s="30" t="s">
        <v>301</v>
      </c>
      <c r="B6" s="30" t="s">
        <v>302</v>
      </c>
    </row>
    <row r="7" customFormat="false" ht="15" hidden="false" customHeight="false" outlineLevel="0" collapsed="false">
      <c r="A7" s="30" t="s">
        <v>92</v>
      </c>
      <c r="B7" s="30" t="s">
        <v>303</v>
      </c>
    </row>
    <row r="8" customFormat="false" ht="15" hidden="false" customHeight="false" outlineLevel="0" collapsed="false">
      <c r="A8" s="30" t="s">
        <v>304</v>
      </c>
      <c r="B8" s="30" t="s">
        <v>305</v>
      </c>
    </row>
    <row r="9" customFormat="false" ht="15" hidden="false" customHeight="false" outlineLevel="0" collapsed="false">
      <c r="A9" s="30" t="s">
        <v>306</v>
      </c>
      <c r="B9" s="30" t="s">
        <v>307</v>
      </c>
    </row>
    <row r="10" customFormat="false" ht="15" hidden="false" customHeight="false" outlineLevel="0" collapsed="false">
      <c r="A10" s="30" t="s">
        <v>100</v>
      </c>
      <c r="B10" s="30" t="s">
        <v>308</v>
      </c>
    </row>
    <row r="11" customFormat="false" ht="15" hidden="false" customHeight="false" outlineLevel="0" collapsed="false">
      <c r="A11" s="30" t="s">
        <v>309</v>
      </c>
      <c r="B11" s="30" t="s">
        <v>310</v>
      </c>
    </row>
    <row r="12" customFormat="false" ht="15" hidden="false" customHeight="false" outlineLevel="0" collapsed="false">
      <c r="A12" s="30" t="s">
        <v>106</v>
      </c>
      <c r="B12" s="30" t="s">
        <v>311</v>
      </c>
    </row>
    <row r="13" customFormat="false" ht="15" hidden="false" customHeight="false" outlineLevel="0" collapsed="false">
      <c r="A13" s="30" t="s">
        <v>112</v>
      </c>
      <c r="B13" s="30" t="s">
        <v>312</v>
      </c>
    </row>
    <row r="14" customFormat="false" ht="15" hidden="false" customHeight="false" outlineLevel="0" collapsed="false">
      <c r="A14" s="30" t="s">
        <v>313</v>
      </c>
      <c r="B14" s="30" t="s">
        <v>314</v>
      </c>
    </row>
    <row r="15" customFormat="false" ht="15" hidden="false" customHeight="false" outlineLevel="0" collapsed="false">
      <c r="A15" s="30" t="s">
        <v>315</v>
      </c>
      <c r="B15" s="30" t="s">
        <v>316</v>
      </c>
    </row>
    <row r="16" customFormat="false" ht="15" hidden="false" customHeight="false" outlineLevel="0" collapsed="false">
      <c r="A16" s="30" t="s">
        <v>317</v>
      </c>
      <c r="B16" s="30" t="s">
        <v>318</v>
      </c>
    </row>
    <row r="17" customFormat="false" ht="15" hidden="false" customHeight="false" outlineLevel="0" collapsed="false">
      <c r="A17" s="30" t="s">
        <v>117</v>
      </c>
      <c r="B17" s="30" t="s">
        <v>319</v>
      </c>
    </row>
    <row r="18" customFormat="false" ht="15" hidden="false" customHeight="false" outlineLevel="0" collapsed="false">
      <c r="A18" s="30" t="s">
        <v>320</v>
      </c>
      <c r="B18" s="30" t="s">
        <v>321</v>
      </c>
    </row>
    <row r="19" customFormat="false" ht="15" hidden="false" customHeight="false" outlineLevel="0" collapsed="false">
      <c r="A19" s="30" t="s">
        <v>322</v>
      </c>
      <c r="B19" s="30" t="s">
        <v>323</v>
      </c>
    </row>
    <row r="20" customFormat="false" ht="15" hidden="false" customHeight="false" outlineLevel="0" collapsed="false">
      <c r="A20" s="30" t="s">
        <v>324</v>
      </c>
      <c r="B20" s="30" t="s">
        <v>325</v>
      </c>
    </row>
    <row r="21" customFormat="false" ht="15" hidden="false" customHeight="false" outlineLevel="0" collapsed="false">
      <c r="A21" s="30" t="s">
        <v>326</v>
      </c>
      <c r="B21" s="30" t="s">
        <v>327</v>
      </c>
    </row>
    <row r="22" customFormat="false" ht="15" hidden="false" customHeight="false" outlineLevel="0" collapsed="false">
      <c r="A22" s="30" t="s">
        <v>328</v>
      </c>
      <c r="B22" s="30" t="s">
        <v>329</v>
      </c>
    </row>
    <row r="23" customFormat="false" ht="15" hidden="false" customHeight="false" outlineLevel="0" collapsed="false">
      <c r="A23" s="30" t="s">
        <v>330</v>
      </c>
      <c r="B23" s="30" t="s">
        <v>331</v>
      </c>
    </row>
    <row r="24" customFormat="false" ht="15" hidden="false" customHeight="false" outlineLevel="0" collapsed="false">
      <c r="A24" s="30" t="s">
        <v>332</v>
      </c>
      <c r="B24" s="30" t="s">
        <v>333</v>
      </c>
    </row>
    <row r="25" customFormat="false" ht="15" hidden="false" customHeight="false" outlineLevel="0" collapsed="false">
      <c r="A25" s="30" t="s">
        <v>334</v>
      </c>
      <c r="B25" s="30" t="s">
        <v>335</v>
      </c>
    </row>
    <row r="26" customFormat="false" ht="15" hidden="false" customHeight="false" outlineLevel="0" collapsed="false">
      <c r="A26" s="30" t="s">
        <v>336</v>
      </c>
      <c r="B26" s="30" t="s">
        <v>337</v>
      </c>
    </row>
    <row r="27" customFormat="false" ht="15" hidden="false" customHeight="false" outlineLevel="0" collapsed="false">
      <c r="A27" s="30" t="s">
        <v>338</v>
      </c>
      <c r="B27" s="30" t="s">
        <v>339</v>
      </c>
    </row>
    <row r="28" customFormat="false" ht="15" hidden="false" customHeight="false" outlineLevel="0" collapsed="false">
      <c r="A28" s="30" t="s">
        <v>340</v>
      </c>
      <c r="B28" s="30" t="s">
        <v>341</v>
      </c>
    </row>
    <row r="29" customFormat="false" ht="15" hidden="false" customHeight="false" outlineLevel="0" collapsed="false">
      <c r="A29" s="30" t="s">
        <v>342</v>
      </c>
      <c r="B29" s="30" t="s">
        <v>343</v>
      </c>
    </row>
    <row r="30" customFormat="false" ht="15" hidden="false" customHeight="false" outlineLevel="0" collapsed="false">
      <c r="A30" s="30" t="s">
        <v>344</v>
      </c>
      <c r="B30" s="30" t="s">
        <v>345</v>
      </c>
    </row>
    <row r="31" customFormat="false" ht="15" hidden="false" customHeight="false" outlineLevel="0" collapsed="false">
      <c r="A31" s="30" t="s">
        <v>346</v>
      </c>
      <c r="B31" s="30" t="s">
        <v>347</v>
      </c>
    </row>
    <row r="32" customFormat="false" ht="15" hidden="false" customHeight="false" outlineLevel="0" collapsed="false">
      <c r="A32" s="30" t="s">
        <v>348</v>
      </c>
      <c r="B32" s="30" t="s">
        <v>349</v>
      </c>
    </row>
    <row r="33" customFormat="false" ht="15" hidden="false" customHeight="false" outlineLevel="0" collapsed="false">
      <c r="A33" s="30" t="s">
        <v>350</v>
      </c>
      <c r="B33" s="30" t="s">
        <v>351</v>
      </c>
    </row>
    <row r="34" customFormat="false" ht="15" hidden="false" customHeight="false" outlineLevel="0" collapsed="false">
      <c r="A34" s="30" t="s">
        <v>352</v>
      </c>
      <c r="B34" s="30" t="s">
        <v>353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2026-10-09T16:41:08Z</dcterms:created>
  <dc:creator>openpyxl</dc:creator>
  <dc:description/>
  <dc:language>en-US</dc:language>
  <cp:lastModifiedBy/>
  <dcterms:modified xsi:type="dcterms:W3CDTF">2026-10-09T16:41:09Z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